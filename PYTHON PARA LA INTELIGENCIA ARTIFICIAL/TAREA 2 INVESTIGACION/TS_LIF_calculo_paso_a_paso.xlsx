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Simulacion" sheetId="3" state="visible" r:id="rId3"/>
    <sheet xmlns:r="http://schemas.openxmlformats.org/officeDocument/2006/relationships" name="Graf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9">
    <font>
      <name val="Calibri"/>
      <family val="2"/>
      <color theme="1"/>
      <sz val="11"/>
      <scheme val="minor"/>
    </font>
    <font>
      <b val="1"/>
      <color rgb="FFFFFFFF"/>
      <sz val="13"/>
    </font>
    <font>
      <i val="1"/>
      <sz val="10"/>
    </font>
    <font>
      <b val="1"/>
      <color rgb="FFFFFFFF"/>
      <sz val="10"/>
    </font>
    <font>
      <b val="1"/>
      <color rgb="FF000000"/>
      <sz val="10"/>
    </font>
    <font>
      <b val="1"/>
      <color rgb="FF1F3864"/>
      <sz val="13"/>
    </font>
    <font>
      <i val="1"/>
      <color rgb="FF555555"/>
      <sz val="10"/>
    </font>
    <font>
      <color rgb="FF000000"/>
      <sz val="10"/>
    </font>
    <font>
      <b val="1"/>
      <color rgb="FFFFFFFF"/>
      <sz val="11"/>
    </font>
    <font>
      <b val="1"/>
      <color rgb="FF1F3864"/>
      <sz val="12"/>
    </font>
    <font>
      <i val="1"/>
      <color rgb="FF555555"/>
      <sz val="9"/>
    </font>
    <font>
      <b val="1"/>
      <color rgb="FFFFFFFF"/>
      <sz val="12"/>
    </font>
    <font>
      <b val="1"/>
      <color rgb="FFFFFFFF"/>
      <sz val="9"/>
    </font>
    <font>
      <b val="1"/>
      <i val="1"/>
      <color rgb="FF555555"/>
      <sz val="11"/>
    </font>
    <font>
      <b val="1"/>
      <color rgb="FF1F3864"/>
      <sz val="10"/>
    </font>
    <font>
      <b val="1"/>
      <color rgb="FF145A32"/>
      <sz val="11"/>
    </font>
    <font>
      <b val="1"/>
      <color rgb="FF7B0000"/>
      <sz val="11"/>
    </font>
    <font>
      <b val="1"/>
      <color rgb="FF4A235A"/>
      <sz val="10"/>
    </font>
    <font>
      <i val="1"/>
      <color rgb="FF444444"/>
      <sz val="9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3CD"/>
      </patternFill>
    </fill>
    <fill>
      <patternFill patternType="solid">
        <fgColor rgb="FF404040"/>
      </patternFill>
    </fill>
    <fill>
      <patternFill patternType="solid">
        <fgColor rgb="FFD6E4F0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0F0F0"/>
      </patternFill>
    </fill>
    <fill>
      <patternFill patternType="solid">
        <fgColor rgb="FFFFFF99"/>
      </patternFill>
    </fill>
    <fill>
      <patternFill patternType="solid">
        <fgColor rgb="FF1E5631"/>
      </patternFill>
    </fill>
    <fill>
      <patternFill patternType="solid">
        <fgColor rgb="FF7B0000"/>
      </patternFill>
    </fill>
    <fill>
      <patternFill patternType="solid">
        <fgColor rgb="FF4A235A"/>
      </patternFill>
    </fill>
    <fill>
      <patternFill patternType="solid">
        <fgColor rgb="FF145A32"/>
      </patternFill>
    </fill>
    <fill>
      <patternFill patternType="solid">
        <fgColor rgb="FF1A5276"/>
      </patternFill>
    </fill>
    <fill>
      <patternFill patternType="solid">
        <fgColor rgb="FF922B21"/>
      </patternFill>
    </fill>
    <fill>
      <patternFill patternType="solid">
        <fgColor rgb="FF808080"/>
      </patternFill>
    </fill>
    <fill>
      <patternFill patternType="solid">
        <fgColor rgb="FFD0E8D0"/>
      </patternFill>
    </fill>
    <fill>
      <patternFill patternType="solid">
        <fgColor rgb="FF90EE90"/>
      </patternFill>
    </fill>
    <fill>
      <patternFill patternType="solid">
        <fgColor rgb="FFFCE4D6"/>
      </patternFill>
    </fill>
    <fill>
      <patternFill patternType="solid">
        <fgColor rgb="FFFFB3B3"/>
      </patternFill>
    </fill>
    <fill>
      <patternFill patternType="solid">
        <fgColor rgb="FFE8DAEF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thin">
        <color rgb="00CCCCCC"/>
      </left>
      <right style="medium">
        <color rgb="00555555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2" fontId="5" fillId="6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1" fontId="4" fillId="10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0" fillId="17" borderId="0" pivotButton="0" quotePrefix="0" xfId="0"/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1" fontId="13" fillId="9" borderId="1" applyAlignment="1" pivotButton="0" quotePrefix="0" xfId="0">
      <alignment horizontal="center" vertical="center"/>
    </xf>
    <xf numFmtId="1" fontId="1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7" fillId="18" borderId="1" applyAlignment="1" pivotButton="0" quotePrefix="0" xfId="0">
      <alignment horizontal="center" vertical="center"/>
    </xf>
    <xf numFmtId="164" fontId="15" fillId="19" borderId="3" applyAlignment="1" pivotButton="0" quotePrefix="0" xfId="0">
      <alignment horizontal="center" vertical="center"/>
    </xf>
    <xf numFmtId="165" fontId="7" fillId="20" borderId="1" applyAlignment="1" pivotButton="0" quotePrefix="0" xfId="0">
      <alignment horizontal="center" vertical="center"/>
    </xf>
    <xf numFmtId="164" fontId="16" fillId="21" borderId="3" applyAlignment="1" pivotButton="0" quotePrefix="0" xfId="0">
      <alignment horizontal="center" vertical="center"/>
    </xf>
    <xf numFmtId="2" fontId="17" fillId="22" borderId="1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TS-LIF — c[t] entrada  |  vd[t] dendrita (paso-bajo)  |  vs[t] soma (paso-alto)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'Grafico'!B1</f>
            </strRef>
          </tx>
          <spPr>
            <a:ln xmlns:a="http://schemas.openxmlformats.org/drawingml/2006/main" w="10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'Grafico'!$A$2:$A$169</f>
            </numRef>
          </cat>
          <val>
            <numRef>
              <f>'Grafico'!$B$2:$B$169</f>
            </numRef>
          </val>
        </ser>
        <ser>
          <idx val="1"/>
          <order val="1"/>
          <tx>
            <strRef>
              <f>'Grafico'!C1</f>
            </strRef>
          </tx>
          <spPr>
            <a:ln xmlns:a="http://schemas.openxmlformats.org/drawingml/2006/main" w="18000">
              <a:solidFill>
                <a:srgbClr val="1E56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'Grafico'!$A$2:$A$169</f>
            </numRef>
          </cat>
          <val>
            <numRef>
              <f>'Grafico'!$C$2:$C$169</f>
            </numRef>
          </val>
        </ser>
        <ser>
          <idx val="2"/>
          <order val="2"/>
          <tx>
            <strRef>
              <f>'Grafico'!D1</f>
            </strRef>
          </tx>
          <spPr>
            <a:ln xmlns:a="http://schemas.openxmlformats.org/drawingml/2006/main" w="18000">
              <a:solidFill>
                <a:srgbClr val="7B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'Grafico'!$A$2:$A$169</f>
            </numRef>
          </cat>
          <val>
            <numRef>
              <f>'Grafico'!$D$2:$D$169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t  (0 = Lun 00:00  →  167 = Dom 23:00)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15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55" customWidth="1" min="4" max="4"/>
  </cols>
  <sheetData>
    <row r="1" ht="28" customHeight="1">
      <c r="A1" s="1" t="inlineStr">
        <is>
          <t>PARAMETROS — Edita la columna B y toda la simulacion se actualiza</t>
        </is>
      </c>
    </row>
    <row r="2" ht="24" customHeight="1">
      <c r="A2" s="2" t="inlineStr">
        <is>
          <t>Las celdas B4:B11 son referenciadas por formulas en la hoja Simulacion. No mover. Cambiar el valor y Excel recalcula todo automaticamente.</t>
        </is>
      </c>
    </row>
    <row r="3">
      <c r="A3" s="3" t="inlineStr">
        <is>
          <t>Parametro</t>
        </is>
      </c>
      <c r="B3" s="3" t="inlineStr">
        <is>
          <t>VALOR</t>
        </is>
      </c>
      <c r="C3" s="3" t="inlineStr">
        <is>
          <t>Rango valido</t>
        </is>
      </c>
      <c r="D3" s="3" t="inlineStr">
        <is>
          <t>Que controla</t>
        </is>
      </c>
    </row>
    <row r="4" ht="22" customHeight="1">
      <c r="A4" s="4" t="inlineStr">
        <is>
          <t>a1  (alpha1)</t>
        </is>
      </c>
      <c r="B4" s="5" t="n">
        <v>0.95</v>
      </c>
      <c r="C4" s="6" t="inlineStr">
        <is>
          <t>0.01 – 0.99</t>
        </is>
      </c>
      <c r="D4" s="7" t="inlineStr">
        <is>
          <t>Decaimiento de la DENDRITA. Cerca de 1 = olvida despacio = memoria larga → paso-bajo</t>
        </is>
      </c>
    </row>
    <row r="5" ht="22" customHeight="1">
      <c r="A5" s="8" t="inlineStr">
        <is>
          <t>a2  (alpha2)</t>
        </is>
      </c>
      <c r="B5" s="5" t="n">
        <v>0.05</v>
      </c>
      <c r="C5" s="9" t="inlineStr">
        <is>
          <t>0.01 – 0.99</t>
        </is>
      </c>
      <c r="D5" s="10" t="inlineStr">
        <is>
          <t>Decaimiento del SOMA. Cerca de 0 = olvida rapido = memoria corta → paso-alto</t>
        </is>
      </c>
    </row>
    <row r="6" ht="22" customHeight="1">
      <c r="A6" s="4" t="inlineStr">
        <is>
          <t>b1  (beta1)</t>
        </is>
      </c>
      <c r="B6" s="5" t="n">
        <v>0</v>
      </c>
      <c r="C6" s="6" t="inlineStr">
        <is>
          <t>-1.0 – 1.0</t>
        </is>
      </c>
      <c r="D6" s="7" t="inlineStr">
        <is>
          <t>Acoplamiento soma→dendrita. 0 = el soma no influye en la dendrita</t>
        </is>
      </c>
    </row>
    <row r="7" ht="22" customHeight="1">
      <c r="A7" s="8" t="inlineStr">
        <is>
          <t>b2  (beta2)</t>
        </is>
      </c>
      <c r="B7" s="5" t="n">
        <v>-0.9</v>
      </c>
      <c r="C7" s="9" t="inlineStr">
        <is>
          <t>-1.0 – 0.0</t>
        </is>
      </c>
      <c r="D7" s="10" t="inlineStr">
        <is>
          <t>Acoplamiento dendrita→soma. Negativo = la dendrita frena al soma (evita saturacion)</t>
        </is>
      </c>
    </row>
    <row r="8" ht="22" customHeight="1">
      <c r="A8" s="4" t="inlineStr">
        <is>
          <t>g1  (gamma1)</t>
        </is>
      </c>
      <c r="B8" s="5" t="n">
        <v>0.5</v>
      </c>
      <c r="C8" s="6" t="inlineStr">
        <is>
          <t>0.0 – 2.0</t>
        </is>
      </c>
      <c r="D8" s="7" t="inlineStr">
        <is>
          <t>Reset dendrita: vd baja en g1 cada vez que sd_prev=1 (la neurona disparo antes)</t>
        </is>
      </c>
    </row>
    <row r="9" ht="22" customHeight="1">
      <c r="A9" s="8" t="inlineStr">
        <is>
          <t>g2  (gamma2)</t>
        </is>
      </c>
      <c r="B9" s="5" t="n">
        <v>1</v>
      </c>
      <c r="C9" s="9" t="inlineStr">
        <is>
          <t>0.0 – 2.0</t>
        </is>
      </c>
      <c r="D9" s="10" t="inlineStr">
        <is>
          <t>Reset soma: vs baja en g2 cada vez que ss_prev=1</t>
        </is>
      </c>
    </row>
    <row r="10" ht="22" customHeight="1">
      <c r="A10" s="4" t="inlineStr">
        <is>
          <t>v_th</t>
        </is>
      </c>
      <c r="B10" s="5" t="n">
        <v>1</v>
      </c>
      <c r="C10" s="6" t="inlineStr">
        <is>
          <t>0.1 – 2.0</t>
        </is>
      </c>
      <c r="D10" s="7" t="inlineStr">
        <is>
          <t>Umbral de disparo: sd=1 si vd &gt;= v_th  /  ss=1 si vs &gt;= v_th</t>
        </is>
      </c>
    </row>
    <row r="11" ht="22" customHeight="1">
      <c r="A11" s="8" t="inlineStr">
        <is>
          <t>kappa</t>
        </is>
      </c>
      <c r="B11" s="5" t="n">
        <v>0.5</v>
      </c>
      <c r="C11" s="9" t="inlineStr">
        <is>
          <t>0.0 – 1.0</t>
        </is>
      </c>
      <c r="D11" s="10" t="inlineStr">
        <is>
          <t>Peso de mezcla salida: s_mix = kappa*sd + (1-kappa)*ss</t>
        </is>
      </c>
    </row>
    <row r="12" ht="10" customHeight="1"/>
    <row r="13" ht="22" customHeight="1">
      <c r="A13" s="11" t="inlineStr">
        <is>
          <t>VERIFICACION DE ESTABILIDAD (Teorema 1) — formulas Excel que recalculan con los parametros</t>
        </is>
      </c>
    </row>
    <row r="14">
      <c r="A14" s="12" t="inlineStr">
        <is>
          <t>Magnitud</t>
        </is>
      </c>
      <c r="B14" s="12" t="inlineStr">
        <is>
          <t>Resultado</t>
        </is>
      </c>
      <c r="C14" s="12" t="inlineStr">
        <is>
          <t>Formula</t>
        </is>
      </c>
      <c r="D14" s="12" t="inlineStr">
        <is>
          <t>Que significa</t>
        </is>
      </c>
    </row>
    <row r="15" ht="22" customHeight="1">
      <c r="A15" s="8" t="inlineStr">
        <is>
          <t>Traza</t>
        </is>
      </c>
      <c r="B15" s="13">
        <f>B4+B5+B6*B7</f>
        <v/>
      </c>
      <c r="C15" s="14">
        <f>B4+B5+B6*B7</f>
        <v/>
      </c>
      <c r="D15" s="10" t="inlineStr">
        <is>
          <t>a1 + a2 + b1*b2 — suma de los terminos de decaimiento mas el producto de acoplamientos</t>
        </is>
      </c>
    </row>
    <row r="16" ht="22" customHeight="1">
      <c r="A16" s="15" t="inlineStr">
        <is>
          <t>Discriminante</t>
        </is>
      </c>
      <c r="B16" s="13">
        <f>SQRT(B15^2-4*B4*B5)</f>
        <v/>
      </c>
      <c r="C16" s="16">
        <f>SQRT(B15^2-4*B4*B5)</f>
        <v/>
      </c>
      <c r="D16" s="17" t="inlineStr">
        <is>
          <t>sqrt(traza^2 - 4*a1*a2) — parte variable bajo la raiz del polinomio caracteristico</t>
        </is>
      </c>
    </row>
    <row r="17" ht="22" customHeight="1">
      <c r="A17" s="8" t="inlineStr">
        <is>
          <t>Lambda 1  (dendrita)</t>
        </is>
      </c>
      <c r="B17" s="13">
        <f>(B15+B16)/2</f>
        <v/>
      </c>
      <c r="C17" s="14">
        <f>(B15+B16)/2</f>
        <v/>
      </c>
      <c r="D17" s="10" t="inlineStr">
        <is>
          <t>Autovalor 1 = (traza + disc)/2 — constante de tiempo de la DENDRITA (debe ser |λ|&lt;1)</t>
        </is>
      </c>
    </row>
    <row r="18" ht="22" customHeight="1">
      <c r="A18" s="15" t="inlineStr">
        <is>
          <t>Lambda 2  (soma)</t>
        </is>
      </c>
      <c r="B18" s="13">
        <f>(B15-B16)/2</f>
        <v/>
      </c>
      <c r="C18" s="16">
        <f>(B15-B16)/2</f>
        <v/>
      </c>
      <c r="D18" s="17" t="inlineStr">
        <is>
          <t>Autovalor 2 = (traza - disc)/2 — constante de tiempo del SOMA (debe ser |λ|&lt;1)</t>
        </is>
      </c>
    </row>
    <row r="19" ht="22" customHeight="1">
      <c r="A19" s="8" t="inlineStr">
        <is>
          <t>|Lambda 1| &lt; 1 ?</t>
        </is>
      </c>
      <c r="B19" s="13">
        <f>IF(ABS(B17)&lt;1,"ESTABLE","INESTABLE — ajusta los parametros")</f>
        <v/>
      </c>
      <c r="C19" s="14">
        <f>IF(ABS(B17)&lt;1,"ESTABLE","INESTABLE — ajusta los parametros")</f>
        <v/>
      </c>
      <c r="D19" s="10" t="inlineStr">
        <is>
          <t>Si es INESTABLE, el potencial crecera sin limite y la red divergira</t>
        </is>
      </c>
    </row>
    <row r="20" ht="22" customHeight="1">
      <c r="A20" s="15" t="inlineStr">
        <is>
          <t>|Lambda 2| &lt; 1 ?</t>
        </is>
      </c>
      <c r="B20" s="13">
        <f>IF(ABS(B18)&lt;1,"ESTABLE","INESTABLE — ajusta los parametros")</f>
        <v/>
      </c>
      <c r="C20" s="16">
        <f>IF(ABS(B18)&lt;1,"ESTABLE","INESTABLE — ajusta los parametros")</f>
        <v/>
      </c>
      <c r="D20" s="17" t="inlineStr">
        <is>
          <t>Ambos autovalores deben cumplir esta condicion para garantizar convergencia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8" t="inlineStr">
        <is>
          <t>electricity_sample.csv — 168 horas x 3 nodos reales UCI Electricity dataset</t>
        </is>
      </c>
    </row>
    <row r="2" ht="20" customHeight="1">
      <c r="A2" s="3" t="inlineStr">
        <is>
          <t>Hora t</t>
        </is>
      </c>
      <c r="B2" s="3" t="inlineStr">
        <is>
          <t>Nodo 0</t>
        </is>
      </c>
      <c r="C2" s="3" t="inlineStr">
        <is>
          <t>Nodo 1</t>
        </is>
      </c>
      <c r="D2" s="3" t="inlineStr">
        <is>
          <t>Nodo 2</t>
        </is>
      </c>
    </row>
    <row r="3">
      <c r="A3" s="19" t="n">
        <v>0</v>
      </c>
      <c r="B3" s="20" t="n">
        <v>0.002481</v>
      </c>
      <c r="C3" s="20" t="n">
        <v>0.079179</v>
      </c>
      <c r="D3" s="20" t="n">
        <v>0.049125</v>
      </c>
    </row>
    <row r="4">
      <c r="A4" s="19" t="n">
        <v>1</v>
      </c>
      <c r="B4" s="21" t="n">
        <v>0.036386</v>
      </c>
      <c r="C4" s="21" t="n">
        <v>0.032258</v>
      </c>
      <c r="D4" s="21" t="n">
        <v>0.041099</v>
      </c>
    </row>
    <row r="5">
      <c r="A5" s="19" t="n">
        <v>2</v>
      </c>
      <c r="B5" s="20" t="n">
        <v>0.017159</v>
      </c>
      <c r="C5" s="20" t="n">
        <v>0.02346</v>
      </c>
      <c r="D5" s="20" t="n">
        <v>0.015807</v>
      </c>
    </row>
    <row r="6">
      <c r="A6" s="19" t="n">
        <v>3</v>
      </c>
      <c r="B6" s="21" t="n">
        <v>0.010544</v>
      </c>
      <c r="C6" s="21" t="n">
        <v>0.002933</v>
      </c>
      <c r="D6" s="21" t="n">
        <v>0.013375</v>
      </c>
    </row>
    <row r="7">
      <c r="A7" s="19" t="n">
        <v>4</v>
      </c>
      <c r="B7" s="20" t="n">
        <v>0.010337</v>
      </c>
      <c r="C7" s="20" t="n">
        <v>0.008798</v>
      </c>
      <c r="D7" s="20" t="n">
        <v>0.051556</v>
      </c>
    </row>
    <row r="8">
      <c r="A8" s="19" t="n">
        <v>5</v>
      </c>
      <c r="B8" s="21" t="n">
        <v>0.008683</v>
      </c>
      <c r="C8" s="21" t="n">
        <v>0</v>
      </c>
      <c r="D8" s="21" t="n">
        <v>0.23249</v>
      </c>
    </row>
    <row r="9">
      <c r="A9" s="19" t="n">
        <v>6</v>
      </c>
      <c r="B9" s="20" t="n">
        <v>0.013852</v>
      </c>
      <c r="C9" s="20" t="n">
        <v>0</v>
      </c>
      <c r="D9" s="20" t="n">
        <v>0.521158</v>
      </c>
    </row>
    <row r="10">
      <c r="A10" s="19" t="n">
        <v>7</v>
      </c>
      <c r="B10" s="21" t="n">
        <v>0.006409</v>
      </c>
      <c r="C10" s="21" t="n">
        <v>0.290323</v>
      </c>
      <c r="D10" s="21" t="n">
        <v>0.536965</v>
      </c>
    </row>
    <row r="11">
      <c r="A11" s="19" t="n">
        <v>8</v>
      </c>
      <c r="B11" s="20" t="n">
        <v>0</v>
      </c>
      <c r="C11" s="20" t="n">
        <v>0.390029</v>
      </c>
      <c r="D11" s="20" t="n">
        <v>0.580739</v>
      </c>
    </row>
    <row r="12">
      <c r="A12" s="19" t="n">
        <v>9</v>
      </c>
      <c r="B12" s="21" t="n">
        <v>0.040728</v>
      </c>
      <c r="C12" s="21" t="n">
        <v>0.527859</v>
      </c>
      <c r="D12" s="21" t="n">
        <v>0.700875</v>
      </c>
    </row>
    <row r="13">
      <c r="A13" s="19" t="n">
        <v>10</v>
      </c>
      <c r="B13" s="20" t="n">
        <v>0.131073</v>
      </c>
      <c r="C13" s="20" t="n">
        <v>0.612903</v>
      </c>
      <c r="D13" s="20" t="n">
        <v>0.663911</v>
      </c>
    </row>
    <row r="14">
      <c r="A14" s="19" t="n">
        <v>11</v>
      </c>
      <c r="B14" s="21" t="n">
        <v>0.177796</v>
      </c>
      <c r="C14" s="21" t="n">
        <v>0.668622</v>
      </c>
      <c r="D14" s="21" t="n">
        <v>0.626459</v>
      </c>
    </row>
    <row r="15">
      <c r="A15" s="19" t="n">
        <v>12</v>
      </c>
      <c r="B15" s="20" t="n">
        <v>0.515402</v>
      </c>
      <c r="C15" s="20" t="n">
        <v>0.680352</v>
      </c>
      <c r="D15" s="20" t="n">
        <v>0.620866</v>
      </c>
    </row>
    <row r="16">
      <c r="A16" s="19" t="n">
        <v>13</v>
      </c>
      <c r="B16" s="21" t="n">
        <v>0.666322</v>
      </c>
      <c r="C16" s="21" t="n">
        <v>0.68915</v>
      </c>
      <c r="D16" s="21" t="n">
        <v>0.636673</v>
      </c>
    </row>
    <row r="17">
      <c r="A17" s="19" t="n">
        <v>14</v>
      </c>
      <c r="B17" s="20" t="n">
        <v>0.542278</v>
      </c>
      <c r="C17" s="20" t="n">
        <v>0.683284</v>
      </c>
      <c r="D17" s="20" t="n">
        <v>0.615272</v>
      </c>
    </row>
    <row r="18">
      <c r="A18" s="19" t="n">
        <v>15</v>
      </c>
      <c r="B18" s="21" t="n">
        <v>0.718007</v>
      </c>
      <c r="C18" s="21" t="n">
        <v>0.677419</v>
      </c>
      <c r="D18" s="21" t="n">
        <v>0.667558</v>
      </c>
    </row>
    <row r="19">
      <c r="A19" s="19" t="n">
        <v>16</v>
      </c>
      <c r="B19" s="20" t="n">
        <v>0.73682</v>
      </c>
      <c r="C19" s="20" t="n">
        <v>0.695015</v>
      </c>
      <c r="D19" s="20" t="n">
        <v>0.714251</v>
      </c>
    </row>
    <row r="20">
      <c r="A20" s="19" t="n">
        <v>17</v>
      </c>
      <c r="B20" s="21" t="n">
        <v>0.626008</v>
      </c>
      <c r="C20" s="21" t="n">
        <v>0.782991</v>
      </c>
      <c r="D20" s="21" t="n">
        <v>0.746595</v>
      </c>
    </row>
    <row r="21">
      <c r="A21" s="19" t="n">
        <v>18</v>
      </c>
      <c r="B21" s="20" t="n">
        <v>0.7395080000000001</v>
      </c>
      <c r="C21" s="20" t="n">
        <v>0.853372</v>
      </c>
      <c r="D21" s="20" t="n">
        <v>0.777724</v>
      </c>
    </row>
    <row r="22">
      <c r="A22" s="19" t="n">
        <v>19</v>
      </c>
      <c r="B22" s="21" t="n">
        <v>0.769899</v>
      </c>
      <c r="C22" s="21" t="n">
        <v>0.88563</v>
      </c>
      <c r="D22" s="21" t="n">
        <v>0.771887</v>
      </c>
    </row>
    <row r="23">
      <c r="A23" s="19" t="n">
        <v>20</v>
      </c>
      <c r="B23" s="20" t="n">
        <v>0.63283</v>
      </c>
      <c r="C23" s="20" t="n">
        <v>0.812317</v>
      </c>
      <c r="D23" s="20" t="n">
        <v>0.400049</v>
      </c>
    </row>
    <row r="24">
      <c r="A24" s="19" t="n">
        <v>21</v>
      </c>
      <c r="B24" s="21" t="n">
        <v>0.641513</v>
      </c>
      <c r="C24" s="21" t="n">
        <v>0.7800589999999999</v>
      </c>
      <c r="D24" s="21" t="n">
        <v>0.321498</v>
      </c>
    </row>
    <row r="25">
      <c r="A25" s="19" t="n">
        <v>22</v>
      </c>
      <c r="B25" s="20" t="n">
        <v>0.5098200000000001</v>
      </c>
      <c r="C25" s="20" t="n">
        <v>0.489736</v>
      </c>
      <c r="D25" s="20" t="n">
        <v>0.286722</v>
      </c>
    </row>
    <row r="26">
      <c r="A26" s="19" t="n">
        <v>23</v>
      </c>
      <c r="B26" s="21" t="n">
        <v>0.266694</v>
      </c>
      <c r="C26" s="21" t="n">
        <v>0.155425</v>
      </c>
      <c r="D26" s="21" t="n">
        <v>0.198444</v>
      </c>
    </row>
    <row r="27">
      <c r="A27" s="19" t="n">
        <v>24</v>
      </c>
      <c r="B27" s="20" t="n">
        <v>0.18007</v>
      </c>
      <c r="C27" s="20" t="n">
        <v>0.105572</v>
      </c>
      <c r="D27" s="20" t="n">
        <v>0.118677</v>
      </c>
    </row>
    <row r="28">
      <c r="A28" s="19" t="n">
        <v>25</v>
      </c>
      <c r="B28" s="21" t="n">
        <v>0.049824</v>
      </c>
      <c r="C28" s="21" t="n">
        <v>0.09384199999999999</v>
      </c>
      <c r="D28" s="21" t="n">
        <v>0.089737</v>
      </c>
    </row>
    <row r="29">
      <c r="A29" s="19" t="n">
        <v>26</v>
      </c>
      <c r="B29" s="20" t="n">
        <v>0.042382</v>
      </c>
      <c r="C29" s="20" t="n">
        <v>0.099707</v>
      </c>
      <c r="D29" s="20" t="n">
        <v>0.069553</v>
      </c>
    </row>
    <row r="30">
      <c r="A30" s="19" t="n">
        <v>27</v>
      </c>
      <c r="B30" s="21" t="n">
        <v>0.033492</v>
      </c>
      <c r="C30" s="21" t="n">
        <v>0.079179</v>
      </c>
      <c r="D30" s="21" t="n">
        <v>0.091196</v>
      </c>
    </row>
    <row r="31">
      <c r="A31" s="19" t="n">
        <v>28</v>
      </c>
      <c r="B31" s="20" t="n">
        <v>0.012818</v>
      </c>
      <c r="C31" s="20" t="n">
        <v>0.099707</v>
      </c>
      <c r="D31" s="20" t="n">
        <v>0.069553</v>
      </c>
    </row>
    <row r="32">
      <c r="A32" s="19" t="n">
        <v>29</v>
      </c>
      <c r="B32" s="21" t="n">
        <v>0.008683</v>
      </c>
      <c r="C32" s="21" t="n">
        <v>0.09384199999999999</v>
      </c>
      <c r="D32" s="21" t="n">
        <v>0.237354</v>
      </c>
    </row>
    <row r="33">
      <c r="A33" s="19" t="n">
        <v>30</v>
      </c>
      <c r="B33" s="20" t="n">
        <v>0.042588</v>
      </c>
      <c r="C33" s="20" t="n">
        <v>0.325513</v>
      </c>
      <c r="D33" s="20" t="n">
        <v>0.771887</v>
      </c>
    </row>
    <row r="34">
      <c r="A34" s="19" t="n">
        <v>31</v>
      </c>
      <c r="B34" s="21" t="n">
        <v>0.067811</v>
      </c>
      <c r="C34" s="21" t="n">
        <v>0.407625</v>
      </c>
      <c r="D34" s="21" t="n">
        <v>0.8018</v>
      </c>
    </row>
    <row r="35">
      <c r="A35" s="19" t="n">
        <v>32</v>
      </c>
      <c r="B35" s="20" t="n">
        <v>0.08021499999999999</v>
      </c>
      <c r="C35" s="20" t="n">
        <v>0.5161289999999999</v>
      </c>
      <c r="D35" s="20" t="n">
        <v>0.828307</v>
      </c>
    </row>
    <row r="36">
      <c r="A36" s="19" t="n">
        <v>33</v>
      </c>
      <c r="B36" s="21" t="n">
        <v>0.125698</v>
      </c>
      <c r="C36" s="21" t="n">
        <v>0.659824</v>
      </c>
      <c r="D36" s="21" t="n">
        <v>0.899319</v>
      </c>
    </row>
    <row r="37">
      <c r="A37" s="19" t="n">
        <v>34</v>
      </c>
      <c r="B37" s="20" t="n">
        <v>0.393426</v>
      </c>
      <c r="C37" s="20" t="n">
        <v>0.7272729999999999</v>
      </c>
      <c r="D37" s="20" t="n">
        <v>0.899076</v>
      </c>
    </row>
    <row r="38">
      <c r="A38" s="19" t="n">
        <v>35</v>
      </c>
      <c r="B38" s="21" t="n">
        <v>0.6317970000000001</v>
      </c>
      <c r="C38" s="21" t="n">
        <v>0.7272729999999999</v>
      </c>
      <c r="D38" s="21" t="n">
        <v>0.902967</v>
      </c>
    </row>
    <row r="39">
      <c r="A39" s="19" t="n">
        <v>36</v>
      </c>
      <c r="B39" s="20" t="n">
        <v>0.679553</v>
      </c>
      <c r="C39" s="20" t="n">
        <v>0.747801</v>
      </c>
      <c r="D39" s="20" t="n">
        <v>0.901751</v>
      </c>
    </row>
    <row r="40">
      <c r="A40" s="19" t="n">
        <v>37</v>
      </c>
      <c r="B40" s="21" t="n">
        <v>0.736614</v>
      </c>
      <c r="C40" s="21" t="n">
        <v>0.7800589999999999</v>
      </c>
      <c r="D40" s="21" t="n">
        <v>0.771158</v>
      </c>
    </row>
    <row r="41">
      <c r="A41" s="19" t="n">
        <v>38</v>
      </c>
      <c r="B41" s="20" t="n">
        <v>0.746744</v>
      </c>
      <c r="C41" s="20" t="n">
        <v>0.762463</v>
      </c>
      <c r="D41" s="20" t="n">
        <v>0.816148</v>
      </c>
    </row>
    <row r="42">
      <c r="A42" s="19" t="n">
        <v>39</v>
      </c>
      <c r="B42" s="21" t="n">
        <v>0.765144</v>
      </c>
      <c r="C42" s="21" t="n">
        <v>0.744868</v>
      </c>
      <c r="D42" s="21" t="n">
        <v>0.834387</v>
      </c>
    </row>
    <row r="43">
      <c r="A43" s="19" t="n">
        <v>40</v>
      </c>
      <c r="B43" s="20" t="n">
        <v>0.801323</v>
      </c>
      <c r="C43" s="20" t="n">
        <v>0.768328</v>
      </c>
      <c r="D43" s="20" t="n">
        <v>0.875243</v>
      </c>
    </row>
    <row r="44">
      <c r="A44" s="19" t="n">
        <v>41</v>
      </c>
      <c r="B44" s="21" t="n">
        <v>0.922473</v>
      </c>
      <c r="C44" s="21" t="n">
        <v>0.86217</v>
      </c>
      <c r="D44" s="21" t="n">
        <v>1</v>
      </c>
    </row>
    <row r="45">
      <c r="A45" s="19" t="n">
        <v>42</v>
      </c>
      <c r="B45" s="20" t="n">
        <v>0.91503</v>
      </c>
      <c r="C45" s="20" t="n">
        <v>0.926686</v>
      </c>
      <c r="D45" s="20" t="n">
        <v>0.968628</v>
      </c>
    </row>
    <row r="46">
      <c r="A46" s="19" t="n">
        <v>43</v>
      </c>
      <c r="B46" s="21" t="n">
        <v>0.870788</v>
      </c>
      <c r="C46" s="21" t="n">
        <v>0.947214</v>
      </c>
      <c r="D46" s="21" t="n">
        <v>0.955739</v>
      </c>
    </row>
    <row r="47">
      <c r="A47" s="19" t="n">
        <v>44</v>
      </c>
      <c r="B47" s="20" t="n">
        <v>0.7920199999999999</v>
      </c>
      <c r="C47" s="20" t="n">
        <v>0.917889</v>
      </c>
      <c r="D47" s="20" t="n">
        <v>0.536965</v>
      </c>
    </row>
    <row r="48">
      <c r="A48" s="19" t="n">
        <v>45</v>
      </c>
      <c r="B48" s="21" t="n">
        <v>0.603266</v>
      </c>
      <c r="C48" s="21" t="n">
        <v>0.853372</v>
      </c>
      <c r="D48" s="21" t="n">
        <v>0.343142</v>
      </c>
    </row>
    <row r="49">
      <c r="A49" s="19" t="n">
        <v>46</v>
      </c>
      <c r="B49" s="20" t="n">
        <v>0.362208</v>
      </c>
      <c r="C49" s="20" t="n">
        <v>0.560117</v>
      </c>
      <c r="D49" s="20" t="n">
        <v>0.250973</v>
      </c>
    </row>
    <row r="50">
      <c r="A50" s="19" t="n">
        <v>47</v>
      </c>
      <c r="B50" s="21" t="n">
        <v>0.311763</v>
      </c>
      <c r="C50" s="21" t="n">
        <v>0.237537</v>
      </c>
      <c r="D50" s="21" t="n">
        <v>0.142996</v>
      </c>
    </row>
    <row r="51">
      <c r="A51" s="19" t="n">
        <v>48</v>
      </c>
      <c r="B51" s="20" t="n">
        <v>0.186686</v>
      </c>
      <c r="C51" s="20" t="n">
        <v>0.158358</v>
      </c>
      <c r="D51" s="20" t="n">
        <v>0.053745</v>
      </c>
    </row>
    <row r="52">
      <c r="A52" s="19" t="n">
        <v>49</v>
      </c>
      <c r="B52" s="21" t="n">
        <v>0.052719</v>
      </c>
      <c r="C52" s="21" t="n">
        <v>0.164223</v>
      </c>
      <c r="D52" s="21" t="n">
        <v>0.052772</v>
      </c>
    </row>
    <row r="53">
      <c r="A53" s="19" t="n">
        <v>50</v>
      </c>
      <c r="B53" s="20" t="n">
        <v>0.048377</v>
      </c>
      <c r="C53" s="20" t="n">
        <v>0.167155</v>
      </c>
      <c r="D53" s="20" t="n">
        <v>0.017023</v>
      </c>
    </row>
    <row r="54">
      <c r="A54" s="19" t="n">
        <v>51</v>
      </c>
      <c r="B54" s="21" t="n">
        <v>0.035559</v>
      </c>
      <c r="C54" s="21" t="n">
        <v>0.140762</v>
      </c>
      <c r="D54" s="21" t="n">
        <v>0.026508</v>
      </c>
    </row>
    <row r="55">
      <c r="A55" s="19" t="n">
        <v>52</v>
      </c>
      <c r="B55" s="20" t="n">
        <v>0.015092</v>
      </c>
      <c r="C55" s="20" t="n">
        <v>0.152493</v>
      </c>
      <c r="D55" s="20" t="n">
        <v>0.028696</v>
      </c>
    </row>
    <row r="56">
      <c r="A56" s="19" t="n">
        <v>53</v>
      </c>
      <c r="B56" s="21" t="n">
        <v>0.015092</v>
      </c>
      <c r="C56" s="21" t="n">
        <v>0.146628</v>
      </c>
      <c r="D56" s="21" t="n">
        <v>0.234922</v>
      </c>
    </row>
    <row r="57">
      <c r="A57" s="19" t="n">
        <v>54</v>
      </c>
      <c r="B57" s="20" t="n">
        <v>0.047343</v>
      </c>
      <c r="C57" s="20" t="n">
        <v>0.369501</v>
      </c>
      <c r="D57" s="20" t="n">
        <v>0.700146</v>
      </c>
    </row>
    <row r="58">
      <c r="A58" s="19" t="n">
        <v>55</v>
      </c>
      <c r="B58" s="21" t="n">
        <v>0.07029199999999999</v>
      </c>
      <c r="C58" s="21" t="n">
        <v>0.428152</v>
      </c>
      <c r="D58" s="21" t="n">
        <v>0.831955</v>
      </c>
    </row>
    <row r="59">
      <c r="A59" s="19" t="n">
        <v>56</v>
      </c>
      <c r="B59" s="20" t="n">
        <v>0.080835</v>
      </c>
      <c r="C59" s="20" t="n">
        <v>0.486804</v>
      </c>
      <c r="D59" s="20" t="n">
        <v>0.826848</v>
      </c>
    </row>
    <row r="60">
      <c r="A60" s="19" t="n">
        <v>57</v>
      </c>
      <c r="B60" s="21" t="n">
        <v>0.123837</v>
      </c>
      <c r="C60" s="21" t="n">
        <v>0.645161</v>
      </c>
      <c r="D60" s="21" t="n">
        <v>0.863084</v>
      </c>
    </row>
    <row r="61">
      <c r="A61" s="19" t="n">
        <v>58</v>
      </c>
      <c r="B61" s="20" t="n">
        <v>0.388671</v>
      </c>
      <c r="C61" s="20" t="n">
        <v>0.744868</v>
      </c>
      <c r="D61" s="20" t="n">
        <v>0.884728</v>
      </c>
    </row>
    <row r="62">
      <c r="A62" s="19" t="n">
        <v>59</v>
      </c>
      <c r="B62" s="21" t="n">
        <v>0.656812</v>
      </c>
      <c r="C62" s="21" t="n">
        <v>0.777126</v>
      </c>
      <c r="D62" s="21" t="n">
        <v>0.8249030000000001</v>
      </c>
    </row>
    <row r="63">
      <c r="A63" s="19" t="n">
        <v>60</v>
      </c>
      <c r="B63" s="20" t="n">
        <v>0.6778999999999999</v>
      </c>
      <c r="C63" s="20" t="n">
        <v>0.765396</v>
      </c>
      <c r="D63" s="20" t="n">
        <v>0.8249030000000001</v>
      </c>
    </row>
    <row r="64">
      <c r="A64" s="19" t="n">
        <v>61</v>
      </c>
      <c r="B64" s="21" t="n">
        <v>0.722762</v>
      </c>
      <c r="C64" s="21" t="n">
        <v>0.785924</v>
      </c>
      <c r="D64" s="21" t="n">
        <v>0.848492</v>
      </c>
    </row>
    <row r="65">
      <c r="A65" s="19" t="n">
        <v>62</v>
      </c>
      <c r="B65" s="20" t="n">
        <v>0.729171</v>
      </c>
      <c r="C65" s="20" t="n">
        <v>0.762463</v>
      </c>
      <c r="D65" s="20" t="n">
        <v>0.837792</v>
      </c>
    </row>
    <row r="66">
      <c r="A66" s="19" t="n">
        <v>63</v>
      </c>
      <c r="B66" s="21" t="n">
        <v>0.751499</v>
      </c>
      <c r="C66" s="21" t="n">
        <v>0.7536659999999999</v>
      </c>
      <c r="D66" s="21" t="n">
        <v>0.865516</v>
      </c>
    </row>
    <row r="67">
      <c r="A67" s="19" t="n">
        <v>64</v>
      </c>
      <c r="B67" s="20" t="n">
        <v>0.765557</v>
      </c>
      <c r="C67" s="20" t="n">
        <v>0.750733</v>
      </c>
      <c r="D67" s="20" t="n">
        <v>0.888375</v>
      </c>
    </row>
    <row r="68">
      <c r="A68" s="19" t="n">
        <v>65</v>
      </c>
      <c r="B68" s="21" t="n">
        <v>0.8385359999999999</v>
      </c>
      <c r="C68" s="21" t="n">
        <v>0.794721</v>
      </c>
      <c r="D68" s="21" t="n">
        <v>0.912451</v>
      </c>
    </row>
    <row r="69">
      <c r="A69" s="19" t="n">
        <v>66</v>
      </c>
      <c r="B69" s="20" t="n">
        <v>0.819309</v>
      </c>
      <c r="C69" s="20" t="n">
        <v>0.897361</v>
      </c>
      <c r="D69" s="20" t="n">
        <v>0.928016</v>
      </c>
    </row>
    <row r="70">
      <c r="A70" s="19" t="n">
        <v>67</v>
      </c>
      <c r="B70" s="21" t="n">
        <v>0.8089730000000001</v>
      </c>
      <c r="C70" s="21" t="n">
        <v>0.964809</v>
      </c>
      <c r="D70" s="21" t="n">
        <v>0.935311</v>
      </c>
    </row>
    <row r="71">
      <c r="A71" s="19" t="n">
        <v>68</v>
      </c>
      <c r="B71" s="20" t="n">
        <v>0.721522</v>
      </c>
      <c r="C71" s="20" t="n">
        <v>0.929619</v>
      </c>
      <c r="D71" s="20" t="n">
        <v>0.520914</v>
      </c>
    </row>
    <row r="72">
      <c r="A72" s="19" t="n">
        <v>69</v>
      </c>
      <c r="B72" s="21" t="n">
        <v>0.549721</v>
      </c>
      <c r="C72" s="21" t="n">
        <v>0.856305</v>
      </c>
      <c r="D72" s="21" t="n">
        <v>0.402967</v>
      </c>
    </row>
    <row r="73">
      <c r="A73" s="19" t="n">
        <v>70</v>
      </c>
      <c r="B73" s="20" t="n">
        <v>0.326442</v>
      </c>
      <c r="C73" s="20" t="n">
        <v>0.533724</v>
      </c>
      <c r="D73" s="20" t="n">
        <v>0.283317</v>
      </c>
    </row>
    <row r="74">
      <c r="A74" s="19" t="n">
        <v>71</v>
      </c>
      <c r="B74" s="21" t="n">
        <v>0.270829</v>
      </c>
      <c r="C74" s="21" t="n">
        <v>0.234604</v>
      </c>
      <c r="D74" s="21" t="n">
        <v>0.163424</v>
      </c>
    </row>
    <row r="75">
      <c r="A75" s="19" t="n">
        <v>72</v>
      </c>
      <c r="B75" s="20" t="n">
        <v>0.159396</v>
      </c>
      <c r="C75" s="20" t="n">
        <v>0.173021</v>
      </c>
      <c r="D75" s="20" t="n">
        <v>0.062257</v>
      </c>
    </row>
    <row r="76">
      <c r="A76" s="19" t="n">
        <v>73</v>
      </c>
      <c r="B76" s="21" t="n">
        <v>0.051685</v>
      </c>
      <c r="C76" s="21" t="n">
        <v>0.170088</v>
      </c>
      <c r="D76" s="21" t="n">
        <v>0.063473</v>
      </c>
    </row>
    <row r="77">
      <c r="A77" s="19" t="n">
        <v>74</v>
      </c>
      <c r="B77" s="20" t="n">
        <v>0.042795</v>
      </c>
      <c r="C77" s="20" t="n">
        <v>0.170088</v>
      </c>
      <c r="D77" s="20" t="n">
        <v>0.02286</v>
      </c>
    </row>
    <row r="78">
      <c r="A78" s="19" t="n">
        <v>75</v>
      </c>
      <c r="B78" s="21" t="n">
        <v>0.032458</v>
      </c>
      <c r="C78" s="21" t="n">
        <v>0.096774</v>
      </c>
      <c r="D78" s="21" t="n">
        <v>0.01678</v>
      </c>
    </row>
    <row r="79">
      <c r="A79" s="19" t="n">
        <v>76</v>
      </c>
      <c r="B79" s="20" t="n">
        <v>0.012404</v>
      </c>
      <c r="C79" s="20" t="n">
        <v>0.096774</v>
      </c>
      <c r="D79" s="20" t="n">
        <v>0.053259</v>
      </c>
    </row>
    <row r="80">
      <c r="A80" s="19" t="n">
        <v>77</v>
      </c>
      <c r="B80" s="21" t="n">
        <v>0.010544</v>
      </c>
      <c r="C80" s="21" t="n">
        <v>0.105572</v>
      </c>
      <c r="D80" s="21" t="n">
        <v>0.264591</v>
      </c>
    </row>
    <row r="81">
      <c r="A81" s="19" t="n">
        <v>78</v>
      </c>
      <c r="B81" s="20" t="n">
        <v>0.045069</v>
      </c>
      <c r="C81" s="20" t="n">
        <v>0.266862</v>
      </c>
      <c r="D81" s="20" t="n">
        <v>0.675827</v>
      </c>
    </row>
    <row r="82">
      <c r="A82" s="19" t="n">
        <v>79</v>
      </c>
      <c r="B82" s="21" t="n">
        <v>0.06636300000000001</v>
      </c>
      <c r="C82" s="21" t="n">
        <v>0.395894</v>
      </c>
      <c r="D82" s="21" t="n">
        <v>0.788667</v>
      </c>
    </row>
    <row r="83">
      <c r="A83" s="19" t="n">
        <v>80</v>
      </c>
      <c r="B83" s="20" t="n">
        <v>0.08497</v>
      </c>
      <c r="C83" s="20" t="n">
        <v>0.483871</v>
      </c>
      <c r="D83" s="20" t="n">
        <v>0.794747</v>
      </c>
    </row>
    <row r="84">
      <c r="A84" s="19" t="n">
        <v>81</v>
      </c>
      <c r="B84" s="21" t="n">
        <v>0.128799</v>
      </c>
      <c r="C84" s="21" t="n">
        <v>0.656891</v>
      </c>
      <c r="D84" s="21" t="n">
        <v>0.851167</v>
      </c>
    </row>
    <row r="85">
      <c r="A85" s="19" t="n">
        <v>82</v>
      </c>
      <c r="B85" s="20" t="n">
        <v>0.401695</v>
      </c>
      <c r="C85" s="20" t="n">
        <v>0.7272729999999999</v>
      </c>
      <c r="D85" s="20" t="n">
        <v>0.9088039999999999</v>
      </c>
    </row>
    <row r="86">
      <c r="A86" s="19" t="n">
        <v>83</v>
      </c>
      <c r="B86" s="21" t="n">
        <v>0.633037</v>
      </c>
      <c r="C86" s="21" t="n">
        <v>0.777126</v>
      </c>
      <c r="D86" s="21" t="n">
        <v>0.847519</v>
      </c>
    </row>
    <row r="87">
      <c r="A87" s="19" t="n">
        <v>84</v>
      </c>
      <c r="B87" s="20" t="n">
        <v>0.673351</v>
      </c>
      <c r="C87" s="20" t="n">
        <v>0.794721</v>
      </c>
      <c r="D87" s="20" t="n">
        <v>0.725438</v>
      </c>
    </row>
    <row r="88">
      <c r="A88" s="19" t="n">
        <v>85</v>
      </c>
      <c r="B88" s="21" t="n">
        <v>0.752739</v>
      </c>
      <c r="C88" s="21" t="n">
        <v>0.824047</v>
      </c>
      <c r="D88" s="21" t="n">
        <v>0.817607</v>
      </c>
    </row>
    <row r="89">
      <c r="A89" s="19" t="n">
        <v>86</v>
      </c>
      <c r="B89" s="20" t="n">
        <v>0.801737</v>
      </c>
      <c r="C89" s="20" t="n">
        <v>0.809384</v>
      </c>
      <c r="D89" s="20" t="n">
        <v>0.655156</v>
      </c>
    </row>
    <row r="90">
      <c r="A90" s="19" t="n">
        <v>87</v>
      </c>
      <c r="B90" s="21" t="n">
        <v>0.803597</v>
      </c>
      <c r="C90" s="21" t="n">
        <v>0.8064519999999999</v>
      </c>
      <c r="D90" s="21" t="n">
        <v>0.771158</v>
      </c>
    </row>
    <row r="91">
      <c r="A91" s="19" t="n">
        <v>88</v>
      </c>
      <c r="B91" s="20" t="n">
        <v>0.774033</v>
      </c>
      <c r="C91" s="20" t="n">
        <v>0.809384</v>
      </c>
      <c r="D91" s="20" t="n">
        <v>0.858463</v>
      </c>
    </row>
    <row r="92">
      <c r="A92" s="19" t="n">
        <v>89</v>
      </c>
      <c r="B92" s="21" t="n">
        <v>0.8997309999999999</v>
      </c>
      <c r="C92" s="21" t="n">
        <v>0.882698</v>
      </c>
      <c r="D92" s="21" t="n">
        <v>0.882539</v>
      </c>
    </row>
    <row r="93">
      <c r="A93" s="19" t="n">
        <v>90</v>
      </c>
      <c r="B93" s="20" t="n">
        <v>0.882985</v>
      </c>
      <c r="C93" s="20" t="n">
        <v>0.938416</v>
      </c>
      <c r="D93" s="20" t="n">
        <v>0.964251</v>
      </c>
    </row>
    <row r="94">
      <c r="A94" s="19" t="n">
        <v>91</v>
      </c>
      <c r="B94" s="21" t="n">
        <v>0.843705</v>
      </c>
      <c r="C94" s="21" t="n">
        <v>0.961877</v>
      </c>
      <c r="D94" s="21" t="n">
        <v>0.910992</v>
      </c>
    </row>
    <row r="95">
      <c r="A95" s="19" t="n">
        <v>92</v>
      </c>
      <c r="B95" s="20" t="n">
        <v>0.829646</v>
      </c>
      <c r="C95" s="20" t="n">
        <v>0.950147</v>
      </c>
      <c r="D95" s="20" t="n">
        <v>0.51751</v>
      </c>
    </row>
    <row r="96">
      <c r="A96" s="19" t="n">
        <v>93</v>
      </c>
      <c r="B96" s="21" t="n">
        <v>0.604507</v>
      </c>
      <c r="C96" s="21" t="n">
        <v>0.835777</v>
      </c>
      <c r="D96" s="21" t="n">
        <v>0.353842</v>
      </c>
    </row>
    <row r="97">
      <c r="A97" s="19" t="n">
        <v>94</v>
      </c>
      <c r="B97" s="20" t="n">
        <v>0.329957</v>
      </c>
      <c r="C97" s="20" t="n">
        <v>0.55132</v>
      </c>
      <c r="D97" s="20" t="n">
        <v>0.306177</v>
      </c>
    </row>
    <row r="98">
      <c r="A98" s="19" t="n">
        <v>95</v>
      </c>
      <c r="B98" s="21" t="n">
        <v>0.27269</v>
      </c>
      <c r="C98" s="21" t="n">
        <v>0.187683</v>
      </c>
      <c r="D98" s="21" t="n">
        <v>0.177772</v>
      </c>
    </row>
    <row r="99">
      <c r="A99" s="19" t="n">
        <v>96</v>
      </c>
      <c r="B99" s="20" t="n">
        <v>0.154228</v>
      </c>
      <c r="C99" s="20" t="n">
        <v>0.111437</v>
      </c>
      <c r="D99" s="20" t="n">
        <v>0.087792</v>
      </c>
    </row>
    <row r="100">
      <c r="A100" s="19" t="n">
        <v>97</v>
      </c>
      <c r="B100" s="21" t="n">
        <v>0.056026</v>
      </c>
      <c r="C100" s="21" t="n">
        <v>0.108504</v>
      </c>
      <c r="D100" s="21" t="n">
        <v>0.062257</v>
      </c>
    </row>
    <row r="101">
      <c r="A101" s="19" t="n">
        <v>98</v>
      </c>
      <c r="B101" s="20" t="n">
        <v>0.041348</v>
      </c>
      <c r="C101" s="20" t="n">
        <v>0.099707</v>
      </c>
      <c r="D101" s="20" t="n">
        <v>0.031128</v>
      </c>
    </row>
    <row r="102">
      <c r="A102" s="19" t="n">
        <v>99</v>
      </c>
      <c r="B102" s="21" t="n">
        <v>0.032045</v>
      </c>
      <c r="C102" s="21" t="n">
        <v>0.073314</v>
      </c>
      <c r="D102" s="21" t="n">
        <v>0.024076</v>
      </c>
    </row>
    <row r="103">
      <c r="A103" s="19" t="n">
        <v>100</v>
      </c>
      <c r="B103" s="20" t="n">
        <v>0.013645</v>
      </c>
      <c r="C103" s="20" t="n">
        <v>0.09384199999999999</v>
      </c>
      <c r="D103" s="20" t="n">
        <v>0.056663</v>
      </c>
    </row>
    <row r="104">
      <c r="A104" s="19" t="n">
        <v>101</v>
      </c>
      <c r="B104" s="21" t="n">
        <v>0.01075</v>
      </c>
      <c r="C104" s="21" t="n">
        <v>0.079179</v>
      </c>
      <c r="D104" s="21" t="n">
        <v>0.239786</v>
      </c>
    </row>
    <row r="105">
      <c r="A105" s="19" t="n">
        <v>102</v>
      </c>
      <c r="B105" s="20" t="n">
        <v>0.041761</v>
      </c>
      <c r="C105" s="20" t="n">
        <v>0.260997</v>
      </c>
      <c r="D105" s="20" t="n">
        <v>0.728599</v>
      </c>
    </row>
    <row r="106">
      <c r="A106" s="19" t="n">
        <v>103</v>
      </c>
      <c r="B106" s="21" t="n">
        <v>0.06594999999999999</v>
      </c>
      <c r="C106" s="21" t="n">
        <v>0.407625</v>
      </c>
      <c r="D106" s="21" t="n">
        <v>0.786235</v>
      </c>
    </row>
    <row r="107">
      <c r="A107" s="19" t="n">
        <v>104</v>
      </c>
      <c r="B107" s="20" t="n">
        <v>0.075873</v>
      </c>
      <c r="C107" s="20" t="n">
        <v>0.478006</v>
      </c>
      <c r="D107" s="20" t="n">
        <v>0.803016</v>
      </c>
    </row>
    <row r="108">
      <c r="A108" s="19" t="n">
        <v>105</v>
      </c>
      <c r="B108" s="21" t="n">
        <v>0.124664</v>
      </c>
      <c r="C108" s="21" t="n">
        <v>0.651026</v>
      </c>
      <c r="D108" s="21" t="n">
        <v>0.860652</v>
      </c>
    </row>
    <row r="109">
      <c r="A109" s="19" t="n">
        <v>106</v>
      </c>
      <c r="B109" s="20" t="n">
        <v>0.393219</v>
      </c>
      <c r="C109" s="20" t="n">
        <v>0.730205</v>
      </c>
      <c r="D109" s="20" t="n">
        <v>0.860652</v>
      </c>
    </row>
    <row r="110">
      <c r="A110" s="19" t="n">
        <v>107</v>
      </c>
      <c r="B110" s="21" t="n">
        <v>0.676246</v>
      </c>
      <c r="C110" s="21" t="n">
        <v>0.73607</v>
      </c>
      <c r="D110" s="21" t="n">
        <v>0.795963</v>
      </c>
    </row>
    <row r="111">
      <c r="A111" s="19" t="n">
        <v>108</v>
      </c>
      <c r="B111" s="20" t="n">
        <v>0.674385</v>
      </c>
      <c r="C111" s="20" t="n">
        <v>0.7272729999999999</v>
      </c>
      <c r="D111" s="20" t="n">
        <v>0.842899</v>
      </c>
    </row>
    <row r="112">
      <c r="A112" s="19" t="n">
        <v>109</v>
      </c>
      <c r="B112" s="21" t="n">
        <v>0.746744</v>
      </c>
      <c r="C112" s="21" t="n">
        <v>0.788856</v>
      </c>
      <c r="D112" s="21" t="n">
        <v>0.780399</v>
      </c>
    </row>
    <row r="113">
      <c r="A113" s="19" t="n">
        <v>110</v>
      </c>
      <c r="B113" s="20" t="n">
        <v>0.738888</v>
      </c>
      <c r="C113" s="20" t="n">
        <v>0.759531</v>
      </c>
      <c r="D113" s="20" t="n">
        <v>0.675584</v>
      </c>
    </row>
    <row r="114">
      <c r="A114" s="19" t="n">
        <v>111</v>
      </c>
      <c r="B114" s="21" t="n">
        <v>0.776721</v>
      </c>
      <c r="C114" s="21" t="n">
        <v>0.756598</v>
      </c>
      <c r="D114" s="21" t="n">
        <v>0.777967</v>
      </c>
    </row>
    <row r="115">
      <c r="A115" s="19" t="n">
        <v>112</v>
      </c>
      <c r="B115" s="20" t="n">
        <v>0.836882</v>
      </c>
      <c r="C115" s="20" t="n">
        <v>0.768328</v>
      </c>
      <c r="D115" s="20" t="n">
        <v>0.829523</v>
      </c>
    </row>
    <row r="116">
      <c r="A116" s="19" t="n">
        <v>113</v>
      </c>
      <c r="B116" s="21" t="n">
        <v>0.882158</v>
      </c>
      <c r="C116" s="21" t="n">
        <v>0.868035</v>
      </c>
      <c r="D116" s="21" t="n">
        <v>0.923152</v>
      </c>
    </row>
    <row r="117">
      <c r="A117" s="19" t="n">
        <v>114</v>
      </c>
      <c r="B117" s="20" t="n">
        <v>0.873889</v>
      </c>
      <c r="C117" s="20" t="n">
        <v>0.938416</v>
      </c>
      <c r="D117" s="20" t="n">
        <v>0.9088039999999999</v>
      </c>
    </row>
    <row r="118">
      <c r="A118" s="19" t="n">
        <v>115</v>
      </c>
      <c r="B118" s="21" t="n">
        <v>0.881538</v>
      </c>
      <c r="C118" s="21" t="n">
        <v>1</v>
      </c>
      <c r="D118" s="21" t="n">
        <v>0.879864</v>
      </c>
    </row>
    <row r="119">
      <c r="A119" s="19" t="n">
        <v>116</v>
      </c>
      <c r="B119" s="20" t="n">
        <v>0.835849</v>
      </c>
      <c r="C119" s="20" t="n">
        <v>0.961877</v>
      </c>
      <c r="D119" s="20" t="n">
        <v>0.486381</v>
      </c>
    </row>
    <row r="120">
      <c r="A120" s="19" t="n">
        <v>117</v>
      </c>
      <c r="B120" s="21" t="n">
        <v>0.633244</v>
      </c>
      <c r="C120" s="21" t="n">
        <v>0.856305</v>
      </c>
      <c r="D120" s="21" t="n">
        <v>0.350195</v>
      </c>
    </row>
    <row r="121">
      <c r="A121" s="19" t="n">
        <v>118</v>
      </c>
      <c r="B121" s="20" t="n">
        <v>0.321274</v>
      </c>
      <c r="C121" s="20" t="n">
        <v>0.507331</v>
      </c>
      <c r="D121" s="20" t="n">
        <v>0.250973</v>
      </c>
    </row>
    <row r="122">
      <c r="A122" s="19" t="n">
        <v>119</v>
      </c>
      <c r="B122" s="21" t="n">
        <v>0.275584</v>
      </c>
      <c r="C122" s="21" t="n">
        <v>0.173021</v>
      </c>
      <c r="D122" s="21" t="n">
        <v>0.145428</v>
      </c>
    </row>
    <row r="123">
      <c r="A123" s="19" t="n">
        <v>120</v>
      </c>
      <c r="B123" s="20" t="n">
        <v>0.159603</v>
      </c>
      <c r="C123" s="20" t="n">
        <v>0.123167</v>
      </c>
      <c r="D123" s="20" t="n">
        <v>0.080496</v>
      </c>
    </row>
    <row r="124">
      <c r="A124" s="19" t="n">
        <v>121</v>
      </c>
      <c r="B124" s="21" t="n">
        <v>0.050238</v>
      </c>
      <c r="C124" s="21" t="n">
        <v>0.117302</v>
      </c>
      <c r="D124" s="21" t="n">
        <v>0.021644</v>
      </c>
    </row>
    <row r="125">
      <c r="A125" s="19" t="n">
        <v>122</v>
      </c>
      <c r="B125" s="20" t="n">
        <v>0.035766</v>
      </c>
      <c r="C125" s="20" t="n">
        <v>0.111437</v>
      </c>
      <c r="D125" s="20" t="n">
        <v>0.007539</v>
      </c>
    </row>
    <row r="126">
      <c r="A126" s="19" t="n">
        <v>123</v>
      </c>
      <c r="B126" s="21" t="n">
        <v>0.027496</v>
      </c>
      <c r="C126" s="21" t="n">
        <v>0.082111</v>
      </c>
      <c r="D126" s="21" t="n">
        <v>0</v>
      </c>
    </row>
    <row r="127">
      <c r="A127" s="19" t="n">
        <v>124</v>
      </c>
      <c r="B127" s="20" t="n">
        <v>0.010337</v>
      </c>
      <c r="C127" s="20" t="n">
        <v>0.090909</v>
      </c>
      <c r="D127" s="20" t="n">
        <v>0.020671</v>
      </c>
    </row>
    <row r="128">
      <c r="A128" s="19" t="n">
        <v>125</v>
      </c>
      <c r="B128" s="21" t="n">
        <v>0.006822</v>
      </c>
      <c r="C128" s="21" t="n">
        <v>0.082111</v>
      </c>
      <c r="D128" s="21" t="n">
        <v>0.210846</v>
      </c>
    </row>
    <row r="129">
      <c r="A129" s="19" t="n">
        <v>126</v>
      </c>
      <c r="B129" s="20" t="n">
        <v>0.043002</v>
      </c>
      <c r="C129" s="20" t="n">
        <v>0.243402</v>
      </c>
      <c r="D129" s="20" t="n">
        <v>0.712062</v>
      </c>
    </row>
    <row r="130">
      <c r="A130" s="19" t="n">
        <v>127</v>
      </c>
      <c r="B130" s="21" t="n">
        <v>0.069878</v>
      </c>
      <c r="C130" s="21" t="n">
        <v>0.375367</v>
      </c>
      <c r="D130" s="21" t="n">
        <v>0.8463039999999999</v>
      </c>
    </row>
    <row r="131">
      <c r="A131" s="19" t="n">
        <v>128</v>
      </c>
      <c r="B131" s="20" t="n">
        <v>0.083316</v>
      </c>
      <c r="C131" s="20" t="n">
        <v>0.454545</v>
      </c>
      <c r="D131" s="20" t="n">
        <v>0.821012</v>
      </c>
    </row>
    <row r="132">
      <c r="A132" s="19" t="n">
        <v>129</v>
      </c>
      <c r="B132" s="21" t="n">
        <v>0.126731</v>
      </c>
      <c r="C132" s="21" t="n">
        <v>0.6217009999999999</v>
      </c>
      <c r="D132" s="21" t="n">
        <v>0.873784</v>
      </c>
    </row>
    <row r="133">
      <c r="A133" s="19" t="n">
        <v>130</v>
      </c>
      <c r="B133" s="20" t="n">
        <v>0.394459</v>
      </c>
      <c r="C133" s="20" t="n">
        <v>0.721408</v>
      </c>
      <c r="D133" s="20" t="n">
        <v>0.815175</v>
      </c>
    </row>
    <row r="134">
      <c r="A134" s="19" t="n">
        <v>131</v>
      </c>
      <c r="B134" s="21" t="n">
        <v>0.668183</v>
      </c>
      <c r="C134" s="21" t="n">
        <v>0.750733</v>
      </c>
      <c r="D134" s="21" t="n">
        <v>0.825875</v>
      </c>
    </row>
    <row r="135">
      <c r="A135" s="19" t="n">
        <v>132</v>
      </c>
      <c r="B135" s="20" t="n">
        <v>0.677073</v>
      </c>
      <c r="C135" s="20" t="n">
        <v>0.747801</v>
      </c>
      <c r="D135" s="20" t="n">
        <v>0.829767</v>
      </c>
    </row>
    <row r="136">
      <c r="A136" s="19" t="n">
        <v>133</v>
      </c>
      <c r="B136" s="21" t="n">
        <v>0.73682</v>
      </c>
      <c r="C136" s="21" t="n">
        <v>0.756598</v>
      </c>
      <c r="D136" s="21" t="n">
        <v>0.8018</v>
      </c>
    </row>
    <row r="137">
      <c r="A137" s="19" t="n">
        <v>134</v>
      </c>
      <c r="B137" s="20" t="n">
        <v>0.737027</v>
      </c>
      <c r="C137" s="20" t="n">
        <v>0.756598</v>
      </c>
      <c r="D137" s="20" t="n">
        <v>0.710846</v>
      </c>
    </row>
    <row r="138">
      <c r="A138" s="19" t="n">
        <v>135</v>
      </c>
      <c r="B138" s="21" t="n">
        <v>0.747364</v>
      </c>
      <c r="C138" s="21" t="n">
        <v>0.718475</v>
      </c>
      <c r="D138" s="21" t="n">
        <v>0.726167</v>
      </c>
    </row>
    <row r="139">
      <c r="A139" s="19" t="n">
        <v>136</v>
      </c>
      <c r="B139" s="20" t="n">
        <v>0.759355</v>
      </c>
      <c r="C139" s="20" t="n">
        <v>0.744868</v>
      </c>
      <c r="D139" s="20" t="n">
        <v>0.831955</v>
      </c>
    </row>
    <row r="140">
      <c r="A140" s="19" t="n">
        <v>137</v>
      </c>
      <c r="B140" s="21" t="n">
        <v>0.823238</v>
      </c>
      <c r="C140" s="21" t="n">
        <v>0.870968</v>
      </c>
      <c r="D140" s="21" t="n">
        <v>0.883755</v>
      </c>
    </row>
    <row r="141">
      <c r="A141" s="19" t="n">
        <v>138</v>
      </c>
      <c r="B141" s="20" t="n">
        <v>0.857556</v>
      </c>
      <c r="C141" s="20" t="n">
        <v>0.938416</v>
      </c>
      <c r="D141" s="20" t="n">
        <v>0.899319</v>
      </c>
    </row>
    <row r="142">
      <c r="A142" s="19" t="n">
        <v>139</v>
      </c>
      <c r="B142" s="21" t="n">
        <v>0.8344009999999999</v>
      </c>
      <c r="C142" s="21" t="n">
        <v>0.985337</v>
      </c>
      <c r="D142" s="21" t="n">
        <v>0.872811</v>
      </c>
    </row>
    <row r="143">
      <c r="A143" s="19" t="n">
        <v>140</v>
      </c>
      <c r="B143" s="20" t="n">
        <v>0.824478</v>
      </c>
      <c r="C143" s="20" t="n">
        <v>0.938416</v>
      </c>
      <c r="D143" s="20" t="n">
        <v>0.464737</v>
      </c>
    </row>
    <row r="144">
      <c r="A144" s="19" t="n">
        <v>141</v>
      </c>
      <c r="B144" s="21" t="n">
        <v>0.718214</v>
      </c>
      <c r="C144" s="21" t="n">
        <v>0.86217</v>
      </c>
      <c r="D144" s="21" t="n">
        <v>0.371839</v>
      </c>
    </row>
    <row r="145">
      <c r="A145" s="19" t="n">
        <v>142</v>
      </c>
      <c r="B145" s="20" t="n">
        <v>0.5540620000000001</v>
      </c>
      <c r="C145" s="20" t="n">
        <v>0.818182</v>
      </c>
      <c r="D145" s="20" t="n">
        <v>0.283317</v>
      </c>
    </row>
    <row r="146">
      <c r="A146" s="19" t="n">
        <v>143</v>
      </c>
      <c r="B146" s="21" t="n">
        <v>0.317966</v>
      </c>
      <c r="C146" s="21" t="n">
        <v>0.486804</v>
      </c>
      <c r="D146" s="21" t="n">
        <v>0.175097</v>
      </c>
    </row>
    <row r="147">
      <c r="A147" s="19" t="n">
        <v>144</v>
      </c>
      <c r="B147" s="20" t="n">
        <v>0.243333</v>
      </c>
      <c r="C147" s="20" t="n">
        <v>0.164223</v>
      </c>
      <c r="D147" s="20" t="n">
        <v>0.053988</v>
      </c>
    </row>
    <row r="148">
      <c r="A148" s="19" t="n">
        <v>145</v>
      </c>
      <c r="B148" s="21" t="n">
        <v>0.08455699999999999</v>
      </c>
      <c r="C148" s="21" t="n">
        <v>0.143695</v>
      </c>
      <c r="D148" s="21" t="n">
        <v>0.010944</v>
      </c>
    </row>
    <row r="149">
      <c r="A149" s="19" t="n">
        <v>146</v>
      </c>
      <c r="B149" s="20" t="n">
        <v>0.049204</v>
      </c>
      <c r="C149" s="20" t="n">
        <v>0.143695</v>
      </c>
      <c r="D149" s="20" t="n">
        <v>0.015807</v>
      </c>
    </row>
    <row r="150">
      <c r="A150" s="19" t="n">
        <v>147</v>
      </c>
      <c r="B150" s="21" t="n">
        <v>0.035973</v>
      </c>
      <c r="C150" s="21" t="n">
        <v>0.120235</v>
      </c>
      <c r="D150" s="21" t="n">
        <v>0.003648</v>
      </c>
    </row>
    <row r="151">
      <c r="A151" s="19" t="n">
        <v>148</v>
      </c>
      <c r="B151" s="20" t="n">
        <v>0.013645</v>
      </c>
      <c r="C151" s="20" t="n">
        <v>0.1261</v>
      </c>
      <c r="D151" s="20" t="n">
        <v>0.019212</v>
      </c>
    </row>
    <row r="152">
      <c r="A152" s="19" t="n">
        <v>149</v>
      </c>
      <c r="B152" s="21" t="n">
        <v>0.012818</v>
      </c>
      <c r="C152" s="21" t="n">
        <v>0.099707</v>
      </c>
      <c r="D152" s="21" t="n">
        <v>0.208901</v>
      </c>
    </row>
    <row r="153">
      <c r="A153" s="19" t="n">
        <v>150</v>
      </c>
      <c r="B153" s="20" t="n">
        <v>0.039901</v>
      </c>
      <c r="C153" s="20" t="n">
        <v>0.272727</v>
      </c>
      <c r="D153" s="20" t="n">
        <v>0.767267</v>
      </c>
    </row>
    <row r="154">
      <c r="A154" s="19" t="n">
        <v>151</v>
      </c>
      <c r="B154" s="21" t="n">
        <v>0.062435</v>
      </c>
      <c r="C154" s="21" t="n">
        <v>0.372434</v>
      </c>
      <c r="D154" s="21" t="n">
        <v>0.775535</v>
      </c>
    </row>
    <row r="155">
      <c r="A155" s="19" t="n">
        <v>152</v>
      </c>
      <c r="B155" s="20" t="n">
        <v>0.082076</v>
      </c>
      <c r="C155" s="20" t="n">
        <v>0.44868</v>
      </c>
      <c r="D155" s="20" t="n">
        <v>0.7828310000000001</v>
      </c>
    </row>
    <row r="156">
      <c r="A156" s="19" t="n">
        <v>153</v>
      </c>
      <c r="B156" s="21" t="n">
        <v>0.123837</v>
      </c>
      <c r="C156" s="21" t="n">
        <v>0.618768</v>
      </c>
      <c r="D156" s="21" t="n">
        <v>0.890564</v>
      </c>
    </row>
    <row r="157">
      <c r="A157" s="19" t="n">
        <v>154</v>
      </c>
      <c r="B157" s="20" t="n">
        <v>0.371925</v>
      </c>
      <c r="C157" s="20" t="n">
        <v>0.73607</v>
      </c>
      <c r="D157" s="20" t="n">
        <v>0.878648</v>
      </c>
    </row>
    <row r="158">
      <c r="A158" s="19" t="n">
        <v>155</v>
      </c>
      <c r="B158" s="21" t="n">
        <v>0.627248</v>
      </c>
      <c r="C158" s="21" t="n">
        <v>0.771261</v>
      </c>
      <c r="D158" s="21" t="n">
        <v>0.898103</v>
      </c>
    </row>
    <row r="159">
      <c r="A159" s="19" t="n">
        <v>156</v>
      </c>
      <c r="B159" s="20" t="n">
        <v>0.6783130000000001</v>
      </c>
      <c r="C159" s="20" t="n">
        <v>0.774194</v>
      </c>
      <c r="D159" s="20" t="n">
        <v>0.849951</v>
      </c>
    </row>
    <row r="160">
      <c r="A160" s="19" t="n">
        <v>157</v>
      </c>
      <c r="B160" s="21" t="n">
        <v>0.764523</v>
      </c>
      <c r="C160" s="21" t="n">
        <v>0.785924</v>
      </c>
      <c r="D160" s="21" t="n">
        <v>0.640564</v>
      </c>
    </row>
    <row r="161">
      <c r="A161" s="19" t="n">
        <v>158</v>
      </c>
      <c r="B161" s="20" t="n">
        <v>0.806698</v>
      </c>
      <c r="C161" s="20" t="n">
        <v>0.791789</v>
      </c>
      <c r="D161" s="20" t="n">
        <v>0.676556</v>
      </c>
    </row>
    <row r="162">
      <c r="A162" s="19" t="n">
        <v>159</v>
      </c>
      <c r="B162" s="21" t="n">
        <v>0.8683070000000001</v>
      </c>
      <c r="C162" s="21" t="n">
        <v>0.483871</v>
      </c>
      <c r="D162" s="21" t="n">
        <v>0.660019</v>
      </c>
    </row>
    <row r="163">
      <c r="A163" s="19" t="n">
        <v>160</v>
      </c>
      <c r="B163" s="20" t="n">
        <v>0.882158</v>
      </c>
      <c r="C163" s="20" t="n">
        <v>0.612903</v>
      </c>
      <c r="D163" s="20" t="n">
        <v>0.777967</v>
      </c>
    </row>
    <row r="164">
      <c r="A164" s="19" t="n">
        <v>161</v>
      </c>
      <c r="B164" s="21" t="n">
        <v>1</v>
      </c>
      <c r="C164" s="21" t="n">
        <v>0.800587</v>
      </c>
      <c r="D164" s="21" t="n">
        <v>0.881323</v>
      </c>
    </row>
    <row r="165">
      <c r="A165" s="19" t="n">
        <v>162</v>
      </c>
      <c r="B165" s="20" t="n">
        <v>0.934464</v>
      </c>
      <c r="C165" s="20" t="n">
        <v>0.8739</v>
      </c>
      <c r="D165" s="20" t="n">
        <v>0.890807</v>
      </c>
    </row>
    <row r="166">
      <c r="A166" s="19" t="n">
        <v>163</v>
      </c>
      <c r="B166" s="21" t="n">
        <v>0.956378</v>
      </c>
      <c r="C166" s="21" t="n">
        <v>0.935484</v>
      </c>
      <c r="D166" s="21" t="n">
        <v>0.900292</v>
      </c>
    </row>
    <row r="167">
      <c r="A167" s="19" t="n">
        <v>164</v>
      </c>
      <c r="B167" s="20" t="n">
        <v>0.891668</v>
      </c>
      <c r="C167" s="20" t="n">
        <v>0.88563</v>
      </c>
      <c r="D167" s="20" t="n">
        <v>0.478356</v>
      </c>
    </row>
    <row r="168">
      <c r="A168" s="19" t="n">
        <v>165</v>
      </c>
      <c r="B168" s="21" t="n">
        <v>0.756254</v>
      </c>
      <c r="C168" s="21" t="n">
        <v>0.829912</v>
      </c>
      <c r="D168" s="21" t="n">
        <v>0.374027</v>
      </c>
    </row>
    <row r="169">
      <c r="A169" s="19" t="n">
        <v>166</v>
      </c>
      <c r="B169" s="20" t="n">
        <v>0.605127</v>
      </c>
      <c r="C169" s="20" t="n">
        <v>0.782991</v>
      </c>
      <c r="D169" s="20" t="n">
        <v>0.282101</v>
      </c>
    </row>
    <row r="170">
      <c r="A170" s="19" t="n">
        <v>167</v>
      </c>
      <c r="B170" s="21" t="n">
        <v>0.344222</v>
      </c>
      <c r="C170" s="21" t="n">
        <v>0.404692</v>
      </c>
      <c r="D170" s="21" t="n">
        <v>0.146644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13" customWidth="1" min="5" max="5"/>
    <col width="14" customWidth="1" min="6" max="6"/>
    <col width="11" customWidth="1" min="7" max="7"/>
    <col width="8" customWidth="1" min="8" max="8"/>
    <col width="2" customWidth="1" min="9" max="9"/>
    <col width="14" customWidth="1" min="10" max="10"/>
    <col width="14" customWidth="1" min="11" max="11"/>
    <col width="13" customWidth="1" min="12" max="12"/>
    <col width="14" customWidth="1" min="13" max="13"/>
    <col width="11" customWidth="1" min="14" max="14"/>
    <col width="8" customWidth="1" min="15" max="15"/>
    <col width="2" customWidth="1" min="16" max="16"/>
    <col width="11" customWidth="1" min="17" max="17"/>
  </cols>
  <sheetData>
    <row r="1" ht="28" customHeight="1">
      <c r="A1" s="1" t="inlineStr">
        <is>
          <t>SIMULACION TS-LIF — Formulas Excel reales. Cambia Parametros!B4:B11 y todo recalcula automaticamente.</t>
        </is>
      </c>
      <c r="I1" s="22" t="n"/>
      <c r="P1" s="22" t="n"/>
    </row>
    <row r="2" ht="22" customHeight="1">
      <c r="A2" s="3" t="inlineStr">
        <is>
          <t>ENTRADA</t>
        </is>
      </c>
      <c r="C2" s="23" t="inlineStr">
        <is>
          <t>DENDRITA  →  vd[t] = a1·vd_prev  +  b1·vs_prev  +  (1−a1)·c[t]  −  g1·sd_prev</t>
        </is>
      </c>
      <c r="I2" s="22" t="n"/>
      <c r="J2" s="24" t="inlineStr">
        <is>
          <t>SOMA  →  vs[t] = a2·vs_prev  +  b2·vd[t]  +  (1−a2)·c[t]  −  g2·ss_prev</t>
        </is>
      </c>
      <c r="P2" s="22" t="n"/>
      <c r="Q2" s="25" t="inlineStr">
        <is>
          <t>SALIDA</t>
        </is>
      </c>
    </row>
    <row r="3" ht="40" customHeight="1">
      <c r="A3" s="26" t="inlineStr">
        <is>
          <t>t
hora</t>
        </is>
      </c>
      <c r="B3" s="26" t="inlineStr">
        <is>
          <t>c[t]
consumo entrada</t>
        </is>
      </c>
      <c r="C3" s="27" t="inlineStr">
        <is>
          <t>a1 · vd_prev
0.95 × vd ant.</t>
        </is>
      </c>
      <c r="D3" s="27" t="inlineStr">
        <is>
          <t>b1 · vs_prev
0.00 × vs ant.</t>
        </is>
      </c>
      <c r="E3" s="27" t="inlineStr">
        <is>
          <t>(1−a1) · c
0.05 × entrada</t>
        </is>
      </c>
      <c r="F3" s="27" t="inlineStr">
        <is>
          <t>−g1 · sd_prev
−0.5 × spike_d_prev</t>
        </is>
      </c>
      <c r="G3" s="28">
        <f> vd[t]
SUMA 4 terminos</f>
        <v/>
      </c>
      <c r="H3" s="29" t="inlineStr">
        <is>
          <t>sd[t]
spike dendrita</t>
        </is>
      </c>
      <c r="I3" s="22" t="n"/>
      <c r="J3" s="30" t="inlineStr">
        <is>
          <t>a2 · vs_prev
0.05 × vs ant.</t>
        </is>
      </c>
      <c r="K3" s="30" t="inlineStr">
        <is>
          <t>b2 · vd[t]
−0.9 × vd nuevo</t>
        </is>
      </c>
      <c r="L3" s="30" t="inlineStr">
        <is>
          <t>(1−a2) · c
0.95 × entrada</t>
        </is>
      </c>
      <c r="M3" s="30" t="inlineStr">
        <is>
          <t>−g2 · ss_prev
−1.0 × spike_s_prev</t>
        </is>
      </c>
      <c r="N3" s="31">
        <f> vs[t]
SUMA 4 terminos</f>
        <v/>
      </c>
      <c r="O3" s="29" t="inlineStr">
        <is>
          <t>ss[t]
spike soma</t>
        </is>
      </c>
      <c r="P3" s="22" t="n"/>
      <c r="Q3" s="32" t="inlineStr">
        <is>
          <t>s_mix[t]
κ·sd+(1−κ)·ss</t>
        </is>
      </c>
    </row>
    <row r="4" ht="18" customHeight="1">
      <c r="A4" s="33" t="inlineStr">
        <is>
          <t>Estado inicial  →  vd = 0  |  vs = 0  |  sd = 0  |  ss = 0</t>
        </is>
      </c>
      <c r="G4" s="34" t="n">
        <v>0</v>
      </c>
      <c r="H4" s="35" t="n">
        <v>0</v>
      </c>
      <c r="I4" s="22" t="n"/>
      <c r="N4" s="34" t="n">
        <v>0</v>
      </c>
      <c r="O4" s="35" t="n">
        <v>0</v>
      </c>
      <c r="P4" s="22" t="n"/>
    </row>
    <row r="5" ht="17" customHeight="1">
      <c r="A5" s="36" t="n">
        <v>0</v>
      </c>
      <c r="B5" s="37">
        <f>Datos!$B$3</f>
        <v/>
      </c>
      <c r="C5" s="38">
        <f>Parametros!$B$4*G4</f>
        <v/>
      </c>
      <c r="D5" s="38">
        <f>Parametros!$B$6*N4</f>
        <v/>
      </c>
      <c r="E5" s="38">
        <f>(1-Parametros!$B$4)*B5</f>
        <v/>
      </c>
      <c r="F5" s="38">
        <f>-Parametros!$B$8*H4</f>
        <v/>
      </c>
      <c r="G5" s="39">
        <f>C5+D5+E5+F5</f>
        <v/>
      </c>
      <c r="H5" s="19">
        <f>IF(G5&gt;=Parametros!$B$10,1,0)</f>
        <v/>
      </c>
      <c r="I5" s="22" t="n"/>
      <c r="J5" s="40">
        <f>Parametros!$B$5*N4</f>
        <v/>
      </c>
      <c r="K5" s="40">
        <f>Parametros!$B$7*G5</f>
        <v/>
      </c>
      <c r="L5" s="40">
        <f>(1-Parametros!$B$5)*B5</f>
        <v/>
      </c>
      <c r="M5" s="40">
        <f>-Parametros!$B$9*O4</f>
        <v/>
      </c>
      <c r="N5" s="41">
        <f>J5+K5+L5+M5</f>
        <v/>
      </c>
      <c r="O5" s="19">
        <f>IF(N5&gt;=Parametros!$B$10,1,0)</f>
        <v/>
      </c>
      <c r="P5" s="22" t="n"/>
      <c r="Q5" s="42">
        <f>Parametros!$B$11*H5+(1-Parametros!$B$11)*O5</f>
        <v/>
      </c>
    </row>
    <row r="6" ht="17" customHeight="1">
      <c r="A6" s="36" t="n">
        <v>1</v>
      </c>
      <c r="B6" s="37">
        <f>Datos!$B$4</f>
        <v/>
      </c>
      <c r="C6" s="38">
        <f>Parametros!$B$4*G5</f>
        <v/>
      </c>
      <c r="D6" s="38">
        <f>Parametros!$B$6*N5</f>
        <v/>
      </c>
      <c r="E6" s="38">
        <f>(1-Parametros!$B$4)*B6</f>
        <v/>
      </c>
      <c r="F6" s="38">
        <f>-Parametros!$B$8*H5</f>
        <v/>
      </c>
      <c r="G6" s="39">
        <f>C6+D6+E6+F6</f>
        <v/>
      </c>
      <c r="H6" s="19">
        <f>IF(G6&gt;=Parametros!$B$10,1,0)</f>
        <v/>
      </c>
      <c r="I6" s="22" t="n"/>
      <c r="J6" s="40">
        <f>Parametros!$B$5*N5</f>
        <v/>
      </c>
      <c r="K6" s="40">
        <f>Parametros!$B$7*G6</f>
        <v/>
      </c>
      <c r="L6" s="40">
        <f>(1-Parametros!$B$5)*B6</f>
        <v/>
      </c>
      <c r="M6" s="40">
        <f>-Parametros!$B$9*O5</f>
        <v/>
      </c>
      <c r="N6" s="41">
        <f>J6+K6+L6+M6</f>
        <v/>
      </c>
      <c r="O6" s="19">
        <f>IF(N6&gt;=Parametros!$B$10,1,0)</f>
        <v/>
      </c>
      <c r="P6" s="22" t="n"/>
      <c r="Q6" s="42">
        <f>Parametros!$B$11*H6+(1-Parametros!$B$11)*O6</f>
        <v/>
      </c>
    </row>
    <row r="7" ht="17" customHeight="1">
      <c r="A7" s="36" t="n">
        <v>2</v>
      </c>
      <c r="B7" s="37">
        <f>Datos!$B$5</f>
        <v/>
      </c>
      <c r="C7" s="38">
        <f>Parametros!$B$4*G6</f>
        <v/>
      </c>
      <c r="D7" s="38">
        <f>Parametros!$B$6*N6</f>
        <v/>
      </c>
      <c r="E7" s="38">
        <f>(1-Parametros!$B$4)*B7</f>
        <v/>
      </c>
      <c r="F7" s="38">
        <f>-Parametros!$B$8*H6</f>
        <v/>
      </c>
      <c r="G7" s="39">
        <f>C7+D7+E7+F7</f>
        <v/>
      </c>
      <c r="H7" s="19">
        <f>IF(G7&gt;=Parametros!$B$10,1,0)</f>
        <v/>
      </c>
      <c r="I7" s="22" t="n"/>
      <c r="J7" s="40">
        <f>Parametros!$B$5*N6</f>
        <v/>
      </c>
      <c r="K7" s="40">
        <f>Parametros!$B$7*G7</f>
        <v/>
      </c>
      <c r="L7" s="40">
        <f>(1-Parametros!$B$5)*B7</f>
        <v/>
      </c>
      <c r="M7" s="40">
        <f>-Parametros!$B$9*O6</f>
        <v/>
      </c>
      <c r="N7" s="41">
        <f>J7+K7+L7+M7</f>
        <v/>
      </c>
      <c r="O7" s="19">
        <f>IF(N7&gt;=Parametros!$B$10,1,0)</f>
        <v/>
      </c>
      <c r="P7" s="22" t="n"/>
      <c r="Q7" s="42">
        <f>Parametros!$B$11*H7+(1-Parametros!$B$11)*O7</f>
        <v/>
      </c>
    </row>
    <row r="8" ht="17" customHeight="1">
      <c r="A8" s="36" t="n">
        <v>3</v>
      </c>
      <c r="B8" s="37">
        <f>Datos!$B$6</f>
        <v/>
      </c>
      <c r="C8" s="38">
        <f>Parametros!$B$4*G7</f>
        <v/>
      </c>
      <c r="D8" s="38">
        <f>Parametros!$B$6*N7</f>
        <v/>
      </c>
      <c r="E8" s="38">
        <f>(1-Parametros!$B$4)*B8</f>
        <v/>
      </c>
      <c r="F8" s="38">
        <f>-Parametros!$B$8*H7</f>
        <v/>
      </c>
      <c r="G8" s="39">
        <f>C8+D8+E8+F8</f>
        <v/>
      </c>
      <c r="H8" s="19">
        <f>IF(G8&gt;=Parametros!$B$10,1,0)</f>
        <v/>
      </c>
      <c r="I8" s="22" t="n"/>
      <c r="J8" s="40">
        <f>Parametros!$B$5*N7</f>
        <v/>
      </c>
      <c r="K8" s="40">
        <f>Parametros!$B$7*G8</f>
        <v/>
      </c>
      <c r="L8" s="40">
        <f>(1-Parametros!$B$5)*B8</f>
        <v/>
      </c>
      <c r="M8" s="40">
        <f>-Parametros!$B$9*O7</f>
        <v/>
      </c>
      <c r="N8" s="41">
        <f>J8+K8+L8+M8</f>
        <v/>
      </c>
      <c r="O8" s="19">
        <f>IF(N8&gt;=Parametros!$B$10,1,0)</f>
        <v/>
      </c>
      <c r="P8" s="22" t="n"/>
      <c r="Q8" s="42">
        <f>Parametros!$B$11*H8+(1-Parametros!$B$11)*O8</f>
        <v/>
      </c>
    </row>
    <row r="9" ht="17" customHeight="1">
      <c r="A9" s="36" t="n">
        <v>4</v>
      </c>
      <c r="B9" s="37">
        <f>Datos!$B$7</f>
        <v/>
      </c>
      <c r="C9" s="38">
        <f>Parametros!$B$4*G8</f>
        <v/>
      </c>
      <c r="D9" s="38">
        <f>Parametros!$B$6*N8</f>
        <v/>
      </c>
      <c r="E9" s="38">
        <f>(1-Parametros!$B$4)*B9</f>
        <v/>
      </c>
      <c r="F9" s="38">
        <f>-Parametros!$B$8*H8</f>
        <v/>
      </c>
      <c r="G9" s="39">
        <f>C9+D9+E9+F9</f>
        <v/>
      </c>
      <c r="H9" s="19">
        <f>IF(G9&gt;=Parametros!$B$10,1,0)</f>
        <v/>
      </c>
      <c r="I9" s="22" t="n"/>
      <c r="J9" s="40">
        <f>Parametros!$B$5*N8</f>
        <v/>
      </c>
      <c r="K9" s="40">
        <f>Parametros!$B$7*G9</f>
        <v/>
      </c>
      <c r="L9" s="40">
        <f>(1-Parametros!$B$5)*B9</f>
        <v/>
      </c>
      <c r="M9" s="40">
        <f>-Parametros!$B$9*O8</f>
        <v/>
      </c>
      <c r="N9" s="41">
        <f>J9+K9+L9+M9</f>
        <v/>
      </c>
      <c r="O9" s="19">
        <f>IF(N9&gt;=Parametros!$B$10,1,0)</f>
        <v/>
      </c>
      <c r="P9" s="22" t="n"/>
      <c r="Q9" s="42">
        <f>Parametros!$B$11*H9+(1-Parametros!$B$11)*O9</f>
        <v/>
      </c>
    </row>
    <row r="10" ht="17" customHeight="1">
      <c r="A10" s="36" t="n">
        <v>5</v>
      </c>
      <c r="B10" s="37">
        <f>Datos!$B$8</f>
        <v/>
      </c>
      <c r="C10" s="38">
        <f>Parametros!$B$4*G9</f>
        <v/>
      </c>
      <c r="D10" s="38">
        <f>Parametros!$B$6*N9</f>
        <v/>
      </c>
      <c r="E10" s="38">
        <f>(1-Parametros!$B$4)*B10</f>
        <v/>
      </c>
      <c r="F10" s="38">
        <f>-Parametros!$B$8*H9</f>
        <v/>
      </c>
      <c r="G10" s="39">
        <f>C10+D10+E10+F10</f>
        <v/>
      </c>
      <c r="H10" s="19">
        <f>IF(G10&gt;=Parametros!$B$10,1,0)</f>
        <v/>
      </c>
      <c r="I10" s="22" t="n"/>
      <c r="J10" s="40">
        <f>Parametros!$B$5*N9</f>
        <v/>
      </c>
      <c r="K10" s="40">
        <f>Parametros!$B$7*G10</f>
        <v/>
      </c>
      <c r="L10" s="40">
        <f>(1-Parametros!$B$5)*B10</f>
        <v/>
      </c>
      <c r="M10" s="40">
        <f>-Parametros!$B$9*O9</f>
        <v/>
      </c>
      <c r="N10" s="41">
        <f>J10+K10+L10+M10</f>
        <v/>
      </c>
      <c r="O10" s="19">
        <f>IF(N10&gt;=Parametros!$B$10,1,0)</f>
        <v/>
      </c>
      <c r="P10" s="22" t="n"/>
      <c r="Q10" s="42">
        <f>Parametros!$B$11*H10+(1-Parametros!$B$11)*O10</f>
        <v/>
      </c>
    </row>
    <row r="11" ht="17" customHeight="1">
      <c r="A11" s="36" t="n">
        <v>6</v>
      </c>
      <c r="B11" s="37">
        <f>Datos!$B$9</f>
        <v/>
      </c>
      <c r="C11" s="38">
        <f>Parametros!$B$4*G10</f>
        <v/>
      </c>
      <c r="D11" s="38">
        <f>Parametros!$B$6*N10</f>
        <v/>
      </c>
      <c r="E11" s="38">
        <f>(1-Parametros!$B$4)*B11</f>
        <v/>
      </c>
      <c r="F11" s="38">
        <f>-Parametros!$B$8*H10</f>
        <v/>
      </c>
      <c r="G11" s="39">
        <f>C11+D11+E11+F11</f>
        <v/>
      </c>
      <c r="H11" s="19">
        <f>IF(G11&gt;=Parametros!$B$10,1,0)</f>
        <v/>
      </c>
      <c r="I11" s="22" t="n"/>
      <c r="J11" s="40">
        <f>Parametros!$B$5*N10</f>
        <v/>
      </c>
      <c r="K11" s="40">
        <f>Parametros!$B$7*G11</f>
        <v/>
      </c>
      <c r="L11" s="40">
        <f>(1-Parametros!$B$5)*B11</f>
        <v/>
      </c>
      <c r="M11" s="40">
        <f>-Parametros!$B$9*O10</f>
        <v/>
      </c>
      <c r="N11" s="41">
        <f>J11+K11+L11+M11</f>
        <v/>
      </c>
      <c r="O11" s="19">
        <f>IF(N11&gt;=Parametros!$B$10,1,0)</f>
        <v/>
      </c>
      <c r="P11" s="22" t="n"/>
      <c r="Q11" s="42">
        <f>Parametros!$B$11*H11+(1-Parametros!$B$11)*O11</f>
        <v/>
      </c>
    </row>
    <row r="12" ht="17" customHeight="1">
      <c r="A12" s="36" t="n">
        <v>7</v>
      </c>
      <c r="B12" s="37">
        <f>Datos!$B$10</f>
        <v/>
      </c>
      <c r="C12" s="38">
        <f>Parametros!$B$4*G11</f>
        <v/>
      </c>
      <c r="D12" s="38">
        <f>Parametros!$B$6*N11</f>
        <v/>
      </c>
      <c r="E12" s="38">
        <f>(1-Parametros!$B$4)*B12</f>
        <v/>
      </c>
      <c r="F12" s="38">
        <f>-Parametros!$B$8*H11</f>
        <v/>
      </c>
      <c r="G12" s="39">
        <f>C12+D12+E12+F12</f>
        <v/>
      </c>
      <c r="H12" s="19">
        <f>IF(G12&gt;=Parametros!$B$10,1,0)</f>
        <v/>
      </c>
      <c r="I12" s="22" t="n"/>
      <c r="J12" s="40">
        <f>Parametros!$B$5*N11</f>
        <v/>
      </c>
      <c r="K12" s="40">
        <f>Parametros!$B$7*G12</f>
        <v/>
      </c>
      <c r="L12" s="40">
        <f>(1-Parametros!$B$5)*B12</f>
        <v/>
      </c>
      <c r="M12" s="40">
        <f>-Parametros!$B$9*O11</f>
        <v/>
      </c>
      <c r="N12" s="41">
        <f>J12+K12+L12+M12</f>
        <v/>
      </c>
      <c r="O12" s="19">
        <f>IF(N12&gt;=Parametros!$B$10,1,0)</f>
        <v/>
      </c>
      <c r="P12" s="22" t="n"/>
      <c r="Q12" s="42">
        <f>Parametros!$B$11*H12+(1-Parametros!$B$11)*O12</f>
        <v/>
      </c>
    </row>
    <row r="13" ht="17" customHeight="1">
      <c r="A13" s="36" t="n">
        <v>8</v>
      </c>
      <c r="B13" s="37">
        <f>Datos!$B$11</f>
        <v/>
      </c>
      <c r="C13" s="38">
        <f>Parametros!$B$4*G12</f>
        <v/>
      </c>
      <c r="D13" s="38">
        <f>Parametros!$B$6*N12</f>
        <v/>
      </c>
      <c r="E13" s="38">
        <f>(1-Parametros!$B$4)*B13</f>
        <v/>
      </c>
      <c r="F13" s="38">
        <f>-Parametros!$B$8*H12</f>
        <v/>
      </c>
      <c r="G13" s="39">
        <f>C13+D13+E13+F13</f>
        <v/>
      </c>
      <c r="H13" s="19">
        <f>IF(G13&gt;=Parametros!$B$10,1,0)</f>
        <v/>
      </c>
      <c r="I13" s="22" t="n"/>
      <c r="J13" s="40">
        <f>Parametros!$B$5*N12</f>
        <v/>
      </c>
      <c r="K13" s="40">
        <f>Parametros!$B$7*G13</f>
        <v/>
      </c>
      <c r="L13" s="40">
        <f>(1-Parametros!$B$5)*B13</f>
        <v/>
      </c>
      <c r="M13" s="40">
        <f>-Parametros!$B$9*O12</f>
        <v/>
      </c>
      <c r="N13" s="41">
        <f>J13+K13+L13+M13</f>
        <v/>
      </c>
      <c r="O13" s="19">
        <f>IF(N13&gt;=Parametros!$B$10,1,0)</f>
        <v/>
      </c>
      <c r="P13" s="22" t="n"/>
      <c r="Q13" s="42">
        <f>Parametros!$B$11*H13+(1-Parametros!$B$11)*O13</f>
        <v/>
      </c>
    </row>
    <row r="14" ht="17" customHeight="1">
      <c r="A14" s="36" t="n">
        <v>9</v>
      </c>
      <c r="B14" s="37">
        <f>Datos!$B$12</f>
        <v/>
      </c>
      <c r="C14" s="38">
        <f>Parametros!$B$4*G13</f>
        <v/>
      </c>
      <c r="D14" s="38">
        <f>Parametros!$B$6*N13</f>
        <v/>
      </c>
      <c r="E14" s="38">
        <f>(1-Parametros!$B$4)*B14</f>
        <v/>
      </c>
      <c r="F14" s="38">
        <f>-Parametros!$B$8*H13</f>
        <v/>
      </c>
      <c r="G14" s="39">
        <f>C14+D14+E14+F14</f>
        <v/>
      </c>
      <c r="H14" s="19">
        <f>IF(G14&gt;=Parametros!$B$10,1,0)</f>
        <v/>
      </c>
      <c r="I14" s="22" t="n"/>
      <c r="J14" s="40">
        <f>Parametros!$B$5*N13</f>
        <v/>
      </c>
      <c r="K14" s="40">
        <f>Parametros!$B$7*G14</f>
        <v/>
      </c>
      <c r="L14" s="40">
        <f>(1-Parametros!$B$5)*B14</f>
        <v/>
      </c>
      <c r="M14" s="40">
        <f>-Parametros!$B$9*O13</f>
        <v/>
      </c>
      <c r="N14" s="41">
        <f>J14+K14+L14+M14</f>
        <v/>
      </c>
      <c r="O14" s="19">
        <f>IF(N14&gt;=Parametros!$B$10,1,0)</f>
        <v/>
      </c>
      <c r="P14" s="22" t="n"/>
      <c r="Q14" s="42">
        <f>Parametros!$B$11*H14+(1-Parametros!$B$11)*O14</f>
        <v/>
      </c>
    </row>
    <row r="15" ht="17" customHeight="1">
      <c r="A15" s="36" t="n">
        <v>10</v>
      </c>
      <c r="B15" s="37">
        <f>Datos!$B$13</f>
        <v/>
      </c>
      <c r="C15" s="38">
        <f>Parametros!$B$4*G14</f>
        <v/>
      </c>
      <c r="D15" s="38">
        <f>Parametros!$B$6*N14</f>
        <v/>
      </c>
      <c r="E15" s="38">
        <f>(1-Parametros!$B$4)*B15</f>
        <v/>
      </c>
      <c r="F15" s="38">
        <f>-Parametros!$B$8*H14</f>
        <v/>
      </c>
      <c r="G15" s="39">
        <f>C15+D15+E15+F15</f>
        <v/>
      </c>
      <c r="H15" s="19">
        <f>IF(G15&gt;=Parametros!$B$10,1,0)</f>
        <v/>
      </c>
      <c r="I15" s="22" t="n"/>
      <c r="J15" s="40">
        <f>Parametros!$B$5*N14</f>
        <v/>
      </c>
      <c r="K15" s="40">
        <f>Parametros!$B$7*G15</f>
        <v/>
      </c>
      <c r="L15" s="40">
        <f>(1-Parametros!$B$5)*B15</f>
        <v/>
      </c>
      <c r="M15" s="40">
        <f>-Parametros!$B$9*O14</f>
        <v/>
      </c>
      <c r="N15" s="41">
        <f>J15+K15+L15+M15</f>
        <v/>
      </c>
      <c r="O15" s="19">
        <f>IF(N15&gt;=Parametros!$B$10,1,0)</f>
        <v/>
      </c>
      <c r="P15" s="22" t="n"/>
      <c r="Q15" s="42">
        <f>Parametros!$B$11*H15+(1-Parametros!$B$11)*O15</f>
        <v/>
      </c>
    </row>
    <row r="16" ht="17" customHeight="1">
      <c r="A16" s="36" t="n">
        <v>11</v>
      </c>
      <c r="B16" s="37">
        <f>Datos!$B$14</f>
        <v/>
      </c>
      <c r="C16" s="38">
        <f>Parametros!$B$4*G15</f>
        <v/>
      </c>
      <c r="D16" s="38">
        <f>Parametros!$B$6*N15</f>
        <v/>
      </c>
      <c r="E16" s="38">
        <f>(1-Parametros!$B$4)*B16</f>
        <v/>
      </c>
      <c r="F16" s="38">
        <f>-Parametros!$B$8*H15</f>
        <v/>
      </c>
      <c r="G16" s="39">
        <f>C16+D16+E16+F16</f>
        <v/>
      </c>
      <c r="H16" s="19">
        <f>IF(G16&gt;=Parametros!$B$10,1,0)</f>
        <v/>
      </c>
      <c r="I16" s="22" t="n"/>
      <c r="J16" s="40">
        <f>Parametros!$B$5*N15</f>
        <v/>
      </c>
      <c r="K16" s="40">
        <f>Parametros!$B$7*G16</f>
        <v/>
      </c>
      <c r="L16" s="40">
        <f>(1-Parametros!$B$5)*B16</f>
        <v/>
      </c>
      <c r="M16" s="40">
        <f>-Parametros!$B$9*O15</f>
        <v/>
      </c>
      <c r="N16" s="41">
        <f>J16+K16+L16+M16</f>
        <v/>
      </c>
      <c r="O16" s="19">
        <f>IF(N16&gt;=Parametros!$B$10,1,0)</f>
        <v/>
      </c>
      <c r="P16" s="22" t="n"/>
      <c r="Q16" s="42">
        <f>Parametros!$B$11*H16+(1-Parametros!$B$11)*O16</f>
        <v/>
      </c>
    </row>
    <row r="17" ht="17" customHeight="1">
      <c r="A17" s="36" t="n">
        <v>12</v>
      </c>
      <c r="B17" s="37">
        <f>Datos!$B$15</f>
        <v/>
      </c>
      <c r="C17" s="38">
        <f>Parametros!$B$4*G16</f>
        <v/>
      </c>
      <c r="D17" s="38">
        <f>Parametros!$B$6*N16</f>
        <v/>
      </c>
      <c r="E17" s="38">
        <f>(1-Parametros!$B$4)*B17</f>
        <v/>
      </c>
      <c r="F17" s="38">
        <f>-Parametros!$B$8*H16</f>
        <v/>
      </c>
      <c r="G17" s="39">
        <f>C17+D17+E17+F17</f>
        <v/>
      </c>
      <c r="H17" s="19">
        <f>IF(G17&gt;=Parametros!$B$10,1,0)</f>
        <v/>
      </c>
      <c r="I17" s="22" t="n"/>
      <c r="J17" s="40">
        <f>Parametros!$B$5*N16</f>
        <v/>
      </c>
      <c r="K17" s="40">
        <f>Parametros!$B$7*G17</f>
        <v/>
      </c>
      <c r="L17" s="40">
        <f>(1-Parametros!$B$5)*B17</f>
        <v/>
      </c>
      <c r="M17" s="40">
        <f>-Parametros!$B$9*O16</f>
        <v/>
      </c>
      <c r="N17" s="41">
        <f>J17+K17+L17+M17</f>
        <v/>
      </c>
      <c r="O17" s="19">
        <f>IF(N17&gt;=Parametros!$B$10,1,0)</f>
        <v/>
      </c>
      <c r="P17" s="22" t="n"/>
      <c r="Q17" s="42">
        <f>Parametros!$B$11*H17+(1-Parametros!$B$11)*O17</f>
        <v/>
      </c>
    </row>
    <row r="18" ht="17" customHeight="1">
      <c r="A18" s="36" t="n">
        <v>13</v>
      </c>
      <c r="B18" s="37">
        <f>Datos!$B$16</f>
        <v/>
      </c>
      <c r="C18" s="38">
        <f>Parametros!$B$4*G17</f>
        <v/>
      </c>
      <c r="D18" s="38">
        <f>Parametros!$B$6*N17</f>
        <v/>
      </c>
      <c r="E18" s="38">
        <f>(1-Parametros!$B$4)*B18</f>
        <v/>
      </c>
      <c r="F18" s="38">
        <f>-Parametros!$B$8*H17</f>
        <v/>
      </c>
      <c r="G18" s="39">
        <f>C18+D18+E18+F18</f>
        <v/>
      </c>
      <c r="H18" s="19">
        <f>IF(G18&gt;=Parametros!$B$10,1,0)</f>
        <v/>
      </c>
      <c r="I18" s="22" t="n"/>
      <c r="J18" s="40">
        <f>Parametros!$B$5*N17</f>
        <v/>
      </c>
      <c r="K18" s="40">
        <f>Parametros!$B$7*G18</f>
        <v/>
      </c>
      <c r="L18" s="40">
        <f>(1-Parametros!$B$5)*B18</f>
        <v/>
      </c>
      <c r="M18" s="40">
        <f>-Parametros!$B$9*O17</f>
        <v/>
      </c>
      <c r="N18" s="41">
        <f>J18+K18+L18+M18</f>
        <v/>
      </c>
      <c r="O18" s="19">
        <f>IF(N18&gt;=Parametros!$B$10,1,0)</f>
        <v/>
      </c>
      <c r="P18" s="22" t="n"/>
      <c r="Q18" s="42">
        <f>Parametros!$B$11*H18+(1-Parametros!$B$11)*O18</f>
        <v/>
      </c>
    </row>
    <row r="19" ht="17" customHeight="1">
      <c r="A19" s="36" t="n">
        <v>14</v>
      </c>
      <c r="B19" s="37">
        <f>Datos!$B$17</f>
        <v/>
      </c>
      <c r="C19" s="38">
        <f>Parametros!$B$4*G18</f>
        <v/>
      </c>
      <c r="D19" s="38">
        <f>Parametros!$B$6*N18</f>
        <v/>
      </c>
      <c r="E19" s="38">
        <f>(1-Parametros!$B$4)*B19</f>
        <v/>
      </c>
      <c r="F19" s="38">
        <f>-Parametros!$B$8*H18</f>
        <v/>
      </c>
      <c r="G19" s="39">
        <f>C19+D19+E19+F19</f>
        <v/>
      </c>
      <c r="H19" s="19">
        <f>IF(G19&gt;=Parametros!$B$10,1,0)</f>
        <v/>
      </c>
      <c r="I19" s="22" t="n"/>
      <c r="J19" s="40">
        <f>Parametros!$B$5*N18</f>
        <v/>
      </c>
      <c r="K19" s="40">
        <f>Parametros!$B$7*G19</f>
        <v/>
      </c>
      <c r="L19" s="40">
        <f>(1-Parametros!$B$5)*B19</f>
        <v/>
      </c>
      <c r="M19" s="40">
        <f>-Parametros!$B$9*O18</f>
        <v/>
      </c>
      <c r="N19" s="41">
        <f>J19+K19+L19+M19</f>
        <v/>
      </c>
      <c r="O19" s="19">
        <f>IF(N19&gt;=Parametros!$B$10,1,0)</f>
        <v/>
      </c>
      <c r="P19" s="22" t="n"/>
      <c r="Q19" s="42">
        <f>Parametros!$B$11*H19+(1-Parametros!$B$11)*O19</f>
        <v/>
      </c>
    </row>
    <row r="20" ht="17" customHeight="1">
      <c r="A20" s="36" t="n">
        <v>15</v>
      </c>
      <c r="B20" s="37">
        <f>Datos!$B$18</f>
        <v/>
      </c>
      <c r="C20" s="38">
        <f>Parametros!$B$4*G19</f>
        <v/>
      </c>
      <c r="D20" s="38">
        <f>Parametros!$B$6*N19</f>
        <v/>
      </c>
      <c r="E20" s="38">
        <f>(1-Parametros!$B$4)*B20</f>
        <v/>
      </c>
      <c r="F20" s="38">
        <f>-Parametros!$B$8*H19</f>
        <v/>
      </c>
      <c r="G20" s="39">
        <f>C20+D20+E20+F20</f>
        <v/>
      </c>
      <c r="H20" s="19">
        <f>IF(G20&gt;=Parametros!$B$10,1,0)</f>
        <v/>
      </c>
      <c r="I20" s="22" t="n"/>
      <c r="J20" s="40">
        <f>Parametros!$B$5*N19</f>
        <v/>
      </c>
      <c r="K20" s="40">
        <f>Parametros!$B$7*G20</f>
        <v/>
      </c>
      <c r="L20" s="40">
        <f>(1-Parametros!$B$5)*B20</f>
        <v/>
      </c>
      <c r="M20" s="40">
        <f>-Parametros!$B$9*O19</f>
        <v/>
      </c>
      <c r="N20" s="41">
        <f>J20+K20+L20+M20</f>
        <v/>
      </c>
      <c r="O20" s="19">
        <f>IF(N20&gt;=Parametros!$B$10,1,0)</f>
        <v/>
      </c>
      <c r="P20" s="22" t="n"/>
      <c r="Q20" s="42">
        <f>Parametros!$B$11*H20+(1-Parametros!$B$11)*O20</f>
        <v/>
      </c>
    </row>
    <row r="21" ht="17" customHeight="1">
      <c r="A21" s="36" t="n">
        <v>16</v>
      </c>
      <c r="B21" s="37">
        <f>Datos!$B$19</f>
        <v/>
      </c>
      <c r="C21" s="38">
        <f>Parametros!$B$4*G20</f>
        <v/>
      </c>
      <c r="D21" s="38">
        <f>Parametros!$B$6*N20</f>
        <v/>
      </c>
      <c r="E21" s="38">
        <f>(1-Parametros!$B$4)*B21</f>
        <v/>
      </c>
      <c r="F21" s="38">
        <f>-Parametros!$B$8*H20</f>
        <v/>
      </c>
      <c r="G21" s="39">
        <f>C21+D21+E21+F21</f>
        <v/>
      </c>
      <c r="H21" s="19">
        <f>IF(G21&gt;=Parametros!$B$10,1,0)</f>
        <v/>
      </c>
      <c r="I21" s="22" t="n"/>
      <c r="J21" s="40">
        <f>Parametros!$B$5*N20</f>
        <v/>
      </c>
      <c r="K21" s="40">
        <f>Parametros!$B$7*G21</f>
        <v/>
      </c>
      <c r="L21" s="40">
        <f>(1-Parametros!$B$5)*B21</f>
        <v/>
      </c>
      <c r="M21" s="40">
        <f>-Parametros!$B$9*O20</f>
        <v/>
      </c>
      <c r="N21" s="41">
        <f>J21+K21+L21+M21</f>
        <v/>
      </c>
      <c r="O21" s="19">
        <f>IF(N21&gt;=Parametros!$B$10,1,0)</f>
        <v/>
      </c>
      <c r="P21" s="22" t="n"/>
      <c r="Q21" s="42">
        <f>Parametros!$B$11*H21+(1-Parametros!$B$11)*O21</f>
        <v/>
      </c>
    </row>
    <row r="22" ht="17" customHeight="1">
      <c r="A22" s="36" t="n">
        <v>17</v>
      </c>
      <c r="B22" s="37">
        <f>Datos!$B$20</f>
        <v/>
      </c>
      <c r="C22" s="38">
        <f>Parametros!$B$4*G21</f>
        <v/>
      </c>
      <c r="D22" s="38">
        <f>Parametros!$B$6*N21</f>
        <v/>
      </c>
      <c r="E22" s="38">
        <f>(1-Parametros!$B$4)*B22</f>
        <v/>
      </c>
      <c r="F22" s="38">
        <f>-Parametros!$B$8*H21</f>
        <v/>
      </c>
      <c r="G22" s="39">
        <f>C22+D22+E22+F22</f>
        <v/>
      </c>
      <c r="H22" s="19">
        <f>IF(G22&gt;=Parametros!$B$10,1,0)</f>
        <v/>
      </c>
      <c r="I22" s="22" t="n"/>
      <c r="J22" s="40">
        <f>Parametros!$B$5*N21</f>
        <v/>
      </c>
      <c r="K22" s="40">
        <f>Parametros!$B$7*G22</f>
        <v/>
      </c>
      <c r="L22" s="40">
        <f>(1-Parametros!$B$5)*B22</f>
        <v/>
      </c>
      <c r="M22" s="40">
        <f>-Parametros!$B$9*O21</f>
        <v/>
      </c>
      <c r="N22" s="41">
        <f>J22+K22+L22+M22</f>
        <v/>
      </c>
      <c r="O22" s="19">
        <f>IF(N22&gt;=Parametros!$B$10,1,0)</f>
        <v/>
      </c>
      <c r="P22" s="22" t="n"/>
      <c r="Q22" s="42">
        <f>Parametros!$B$11*H22+(1-Parametros!$B$11)*O22</f>
        <v/>
      </c>
    </row>
    <row r="23" ht="17" customHeight="1">
      <c r="A23" s="36" t="n">
        <v>18</v>
      </c>
      <c r="B23" s="37">
        <f>Datos!$B$21</f>
        <v/>
      </c>
      <c r="C23" s="38">
        <f>Parametros!$B$4*G22</f>
        <v/>
      </c>
      <c r="D23" s="38">
        <f>Parametros!$B$6*N22</f>
        <v/>
      </c>
      <c r="E23" s="38">
        <f>(1-Parametros!$B$4)*B23</f>
        <v/>
      </c>
      <c r="F23" s="38">
        <f>-Parametros!$B$8*H22</f>
        <v/>
      </c>
      <c r="G23" s="39">
        <f>C23+D23+E23+F23</f>
        <v/>
      </c>
      <c r="H23" s="19">
        <f>IF(G23&gt;=Parametros!$B$10,1,0)</f>
        <v/>
      </c>
      <c r="I23" s="22" t="n"/>
      <c r="J23" s="40">
        <f>Parametros!$B$5*N22</f>
        <v/>
      </c>
      <c r="K23" s="40">
        <f>Parametros!$B$7*G23</f>
        <v/>
      </c>
      <c r="L23" s="40">
        <f>(1-Parametros!$B$5)*B23</f>
        <v/>
      </c>
      <c r="M23" s="40">
        <f>-Parametros!$B$9*O22</f>
        <v/>
      </c>
      <c r="N23" s="41">
        <f>J23+K23+L23+M23</f>
        <v/>
      </c>
      <c r="O23" s="19">
        <f>IF(N23&gt;=Parametros!$B$10,1,0)</f>
        <v/>
      </c>
      <c r="P23" s="22" t="n"/>
      <c r="Q23" s="42">
        <f>Parametros!$B$11*H23+(1-Parametros!$B$11)*O23</f>
        <v/>
      </c>
    </row>
    <row r="24" ht="17" customHeight="1">
      <c r="A24" s="36" t="n">
        <v>19</v>
      </c>
      <c r="B24" s="37">
        <f>Datos!$B$22</f>
        <v/>
      </c>
      <c r="C24" s="38">
        <f>Parametros!$B$4*G23</f>
        <v/>
      </c>
      <c r="D24" s="38">
        <f>Parametros!$B$6*N23</f>
        <v/>
      </c>
      <c r="E24" s="38">
        <f>(1-Parametros!$B$4)*B24</f>
        <v/>
      </c>
      <c r="F24" s="38">
        <f>-Parametros!$B$8*H23</f>
        <v/>
      </c>
      <c r="G24" s="39">
        <f>C24+D24+E24+F24</f>
        <v/>
      </c>
      <c r="H24" s="19">
        <f>IF(G24&gt;=Parametros!$B$10,1,0)</f>
        <v/>
      </c>
      <c r="I24" s="22" t="n"/>
      <c r="J24" s="40">
        <f>Parametros!$B$5*N23</f>
        <v/>
      </c>
      <c r="K24" s="40">
        <f>Parametros!$B$7*G24</f>
        <v/>
      </c>
      <c r="L24" s="40">
        <f>(1-Parametros!$B$5)*B24</f>
        <v/>
      </c>
      <c r="M24" s="40">
        <f>-Parametros!$B$9*O23</f>
        <v/>
      </c>
      <c r="N24" s="41">
        <f>J24+K24+L24+M24</f>
        <v/>
      </c>
      <c r="O24" s="19">
        <f>IF(N24&gt;=Parametros!$B$10,1,0)</f>
        <v/>
      </c>
      <c r="P24" s="22" t="n"/>
      <c r="Q24" s="42">
        <f>Parametros!$B$11*H24+(1-Parametros!$B$11)*O24</f>
        <v/>
      </c>
    </row>
    <row r="25" ht="17" customHeight="1">
      <c r="A25" s="36" t="n">
        <v>20</v>
      </c>
      <c r="B25" s="37">
        <f>Datos!$B$23</f>
        <v/>
      </c>
      <c r="C25" s="38">
        <f>Parametros!$B$4*G24</f>
        <v/>
      </c>
      <c r="D25" s="38">
        <f>Parametros!$B$6*N24</f>
        <v/>
      </c>
      <c r="E25" s="38">
        <f>(1-Parametros!$B$4)*B25</f>
        <v/>
      </c>
      <c r="F25" s="38">
        <f>-Parametros!$B$8*H24</f>
        <v/>
      </c>
      <c r="G25" s="39">
        <f>C25+D25+E25+F25</f>
        <v/>
      </c>
      <c r="H25" s="19">
        <f>IF(G25&gt;=Parametros!$B$10,1,0)</f>
        <v/>
      </c>
      <c r="I25" s="22" t="n"/>
      <c r="J25" s="40">
        <f>Parametros!$B$5*N24</f>
        <v/>
      </c>
      <c r="K25" s="40">
        <f>Parametros!$B$7*G25</f>
        <v/>
      </c>
      <c r="L25" s="40">
        <f>(1-Parametros!$B$5)*B25</f>
        <v/>
      </c>
      <c r="M25" s="40">
        <f>-Parametros!$B$9*O24</f>
        <v/>
      </c>
      <c r="N25" s="41">
        <f>J25+K25+L25+M25</f>
        <v/>
      </c>
      <c r="O25" s="19">
        <f>IF(N25&gt;=Parametros!$B$10,1,0)</f>
        <v/>
      </c>
      <c r="P25" s="22" t="n"/>
      <c r="Q25" s="42">
        <f>Parametros!$B$11*H25+(1-Parametros!$B$11)*O25</f>
        <v/>
      </c>
    </row>
    <row r="26" ht="17" customHeight="1">
      <c r="A26" s="36" t="n">
        <v>21</v>
      </c>
      <c r="B26" s="37">
        <f>Datos!$B$24</f>
        <v/>
      </c>
      <c r="C26" s="38">
        <f>Parametros!$B$4*G25</f>
        <v/>
      </c>
      <c r="D26" s="38">
        <f>Parametros!$B$6*N25</f>
        <v/>
      </c>
      <c r="E26" s="38">
        <f>(1-Parametros!$B$4)*B26</f>
        <v/>
      </c>
      <c r="F26" s="38">
        <f>-Parametros!$B$8*H25</f>
        <v/>
      </c>
      <c r="G26" s="39">
        <f>C26+D26+E26+F26</f>
        <v/>
      </c>
      <c r="H26" s="19">
        <f>IF(G26&gt;=Parametros!$B$10,1,0)</f>
        <v/>
      </c>
      <c r="I26" s="22" t="n"/>
      <c r="J26" s="40">
        <f>Parametros!$B$5*N25</f>
        <v/>
      </c>
      <c r="K26" s="40">
        <f>Parametros!$B$7*G26</f>
        <v/>
      </c>
      <c r="L26" s="40">
        <f>(1-Parametros!$B$5)*B26</f>
        <v/>
      </c>
      <c r="M26" s="40">
        <f>-Parametros!$B$9*O25</f>
        <v/>
      </c>
      <c r="N26" s="41">
        <f>J26+K26+L26+M26</f>
        <v/>
      </c>
      <c r="O26" s="19">
        <f>IF(N26&gt;=Parametros!$B$10,1,0)</f>
        <v/>
      </c>
      <c r="P26" s="22" t="n"/>
      <c r="Q26" s="42">
        <f>Parametros!$B$11*H26+(1-Parametros!$B$11)*O26</f>
        <v/>
      </c>
    </row>
    <row r="27" ht="17" customHeight="1">
      <c r="A27" s="36" t="n">
        <v>22</v>
      </c>
      <c r="B27" s="37">
        <f>Datos!$B$25</f>
        <v/>
      </c>
      <c r="C27" s="38">
        <f>Parametros!$B$4*G26</f>
        <v/>
      </c>
      <c r="D27" s="38">
        <f>Parametros!$B$6*N26</f>
        <v/>
      </c>
      <c r="E27" s="38">
        <f>(1-Parametros!$B$4)*B27</f>
        <v/>
      </c>
      <c r="F27" s="38">
        <f>-Parametros!$B$8*H26</f>
        <v/>
      </c>
      <c r="G27" s="39">
        <f>C27+D27+E27+F27</f>
        <v/>
      </c>
      <c r="H27" s="19">
        <f>IF(G27&gt;=Parametros!$B$10,1,0)</f>
        <v/>
      </c>
      <c r="I27" s="22" t="n"/>
      <c r="J27" s="40">
        <f>Parametros!$B$5*N26</f>
        <v/>
      </c>
      <c r="K27" s="40">
        <f>Parametros!$B$7*G27</f>
        <v/>
      </c>
      <c r="L27" s="40">
        <f>(1-Parametros!$B$5)*B27</f>
        <v/>
      </c>
      <c r="M27" s="40">
        <f>-Parametros!$B$9*O26</f>
        <v/>
      </c>
      <c r="N27" s="41">
        <f>J27+K27+L27+M27</f>
        <v/>
      </c>
      <c r="O27" s="19">
        <f>IF(N27&gt;=Parametros!$B$10,1,0)</f>
        <v/>
      </c>
      <c r="P27" s="22" t="n"/>
      <c r="Q27" s="42">
        <f>Parametros!$B$11*H27+(1-Parametros!$B$11)*O27</f>
        <v/>
      </c>
    </row>
    <row r="28" ht="17" customHeight="1">
      <c r="A28" s="36" t="n">
        <v>23</v>
      </c>
      <c r="B28" s="37">
        <f>Datos!$B$26</f>
        <v/>
      </c>
      <c r="C28" s="38">
        <f>Parametros!$B$4*G27</f>
        <v/>
      </c>
      <c r="D28" s="38">
        <f>Parametros!$B$6*N27</f>
        <v/>
      </c>
      <c r="E28" s="38">
        <f>(1-Parametros!$B$4)*B28</f>
        <v/>
      </c>
      <c r="F28" s="38">
        <f>-Parametros!$B$8*H27</f>
        <v/>
      </c>
      <c r="G28" s="39">
        <f>C28+D28+E28+F28</f>
        <v/>
      </c>
      <c r="H28" s="19">
        <f>IF(G28&gt;=Parametros!$B$10,1,0)</f>
        <v/>
      </c>
      <c r="I28" s="22" t="n"/>
      <c r="J28" s="40">
        <f>Parametros!$B$5*N27</f>
        <v/>
      </c>
      <c r="K28" s="40">
        <f>Parametros!$B$7*G28</f>
        <v/>
      </c>
      <c r="L28" s="40">
        <f>(1-Parametros!$B$5)*B28</f>
        <v/>
      </c>
      <c r="M28" s="40">
        <f>-Parametros!$B$9*O27</f>
        <v/>
      </c>
      <c r="N28" s="41">
        <f>J28+K28+L28+M28</f>
        <v/>
      </c>
      <c r="O28" s="19">
        <f>IF(N28&gt;=Parametros!$B$10,1,0)</f>
        <v/>
      </c>
      <c r="P28" s="22" t="n"/>
      <c r="Q28" s="42">
        <f>Parametros!$B$11*H28+(1-Parametros!$B$11)*O28</f>
        <v/>
      </c>
    </row>
    <row r="29" ht="17" customHeight="1">
      <c r="A29" s="36" t="n">
        <v>24</v>
      </c>
      <c r="B29" s="37">
        <f>Datos!$B$27</f>
        <v/>
      </c>
      <c r="C29" s="38">
        <f>Parametros!$B$4*G28</f>
        <v/>
      </c>
      <c r="D29" s="38">
        <f>Parametros!$B$6*N28</f>
        <v/>
      </c>
      <c r="E29" s="38">
        <f>(1-Parametros!$B$4)*B29</f>
        <v/>
      </c>
      <c r="F29" s="38">
        <f>-Parametros!$B$8*H28</f>
        <v/>
      </c>
      <c r="G29" s="39">
        <f>C29+D29+E29+F29</f>
        <v/>
      </c>
      <c r="H29" s="19">
        <f>IF(G29&gt;=Parametros!$B$10,1,0)</f>
        <v/>
      </c>
      <c r="I29" s="22" t="n"/>
      <c r="J29" s="40">
        <f>Parametros!$B$5*N28</f>
        <v/>
      </c>
      <c r="K29" s="40">
        <f>Parametros!$B$7*G29</f>
        <v/>
      </c>
      <c r="L29" s="40">
        <f>(1-Parametros!$B$5)*B29</f>
        <v/>
      </c>
      <c r="M29" s="40">
        <f>-Parametros!$B$9*O28</f>
        <v/>
      </c>
      <c r="N29" s="41">
        <f>J29+K29+L29+M29</f>
        <v/>
      </c>
      <c r="O29" s="19">
        <f>IF(N29&gt;=Parametros!$B$10,1,0)</f>
        <v/>
      </c>
      <c r="P29" s="22" t="n"/>
      <c r="Q29" s="42">
        <f>Parametros!$B$11*H29+(1-Parametros!$B$11)*O29</f>
        <v/>
      </c>
    </row>
    <row r="30" ht="17" customHeight="1">
      <c r="A30" s="36" t="n">
        <v>25</v>
      </c>
      <c r="B30" s="37">
        <f>Datos!$B$28</f>
        <v/>
      </c>
      <c r="C30" s="38">
        <f>Parametros!$B$4*G29</f>
        <v/>
      </c>
      <c r="D30" s="38">
        <f>Parametros!$B$6*N29</f>
        <v/>
      </c>
      <c r="E30" s="38">
        <f>(1-Parametros!$B$4)*B30</f>
        <v/>
      </c>
      <c r="F30" s="38">
        <f>-Parametros!$B$8*H29</f>
        <v/>
      </c>
      <c r="G30" s="39">
        <f>C30+D30+E30+F30</f>
        <v/>
      </c>
      <c r="H30" s="19">
        <f>IF(G30&gt;=Parametros!$B$10,1,0)</f>
        <v/>
      </c>
      <c r="I30" s="22" t="n"/>
      <c r="J30" s="40">
        <f>Parametros!$B$5*N29</f>
        <v/>
      </c>
      <c r="K30" s="40">
        <f>Parametros!$B$7*G30</f>
        <v/>
      </c>
      <c r="L30" s="40">
        <f>(1-Parametros!$B$5)*B30</f>
        <v/>
      </c>
      <c r="M30" s="40">
        <f>-Parametros!$B$9*O29</f>
        <v/>
      </c>
      <c r="N30" s="41">
        <f>J30+K30+L30+M30</f>
        <v/>
      </c>
      <c r="O30" s="19">
        <f>IF(N30&gt;=Parametros!$B$10,1,0)</f>
        <v/>
      </c>
      <c r="P30" s="22" t="n"/>
      <c r="Q30" s="42">
        <f>Parametros!$B$11*H30+(1-Parametros!$B$11)*O30</f>
        <v/>
      </c>
    </row>
    <row r="31" ht="17" customHeight="1">
      <c r="A31" s="36" t="n">
        <v>26</v>
      </c>
      <c r="B31" s="37">
        <f>Datos!$B$29</f>
        <v/>
      </c>
      <c r="C31" s="38">
        <f>Parametros!$B$4*G30</f>
        <v/>
      </c>
      <c r="D31" s="38">
        <f>Parametros!$B$6*N30</f>
        <v/>
      </c>
      <c r="E31" s="38">
        <f>(1-Parametros!$B$4)*B31</f>
        <v/>
      </c>
      <c r="F31" s="38">
        <f>-Parametros!$B$8*H30</f>
        <v/>
      </c>
      <c r="G31" s="39">
        <f>C31+D31+E31+F31</f>
        <v/>
      </c>
      <c r="H31" s="19">
        <f>IF(G31&gt;=Parametros!$B$10,1,0)</f>
        <v/>
      </c>
      <c r="I31" s="22" t="n"/>
      <c r="J31" s="40">
        <f>Parametros!$B$5*N30</f>
        <v/>
      </c>
      <c r="K31" s="40">
        <f>Parametros!$B$7*G31</f>
        <v/>
      </c>
      <c r="L31" s="40">
        <f>(1-Parametros!$B$5)*B31</f>
        <v/>
      </c>
      <c r="M31" s="40">
        <f>-Parametros!$B$9*O30</f>
        <v/>
      </c>
      <c r="N31" s="41">
        <f>J31+K31+L31+M31</f>
        <v/>
      </c>
      <c r="O31" s="19">
        <f>IF(N31&gt;=Parametros!$B$10,1,0)</f>
        <v/>
      </c>
      <c r="P31" s="22" t="n"/>
      <c r="Q31" s="42">
        <f>Parametros!$B$11*H31+(1-Parametros!$B$11)*O31</f>
        <v/>
      </c>
    </row>
    <row r="32" ht="17" customHeight="1">
      <c r="A32" s="36" t="n">
        <v>27</v>
      </c>
      <c r="B32" s="37">
        <f>Datos!$B$30</f>
        <v/>
      </c>
      <c r="C32" s="38">
        <f>Parametros!$B$4*G31</f>
        <v/>
      </c>
      <c r="D32" s="38">
        <f>Parametros!$B$6*N31</f>
        <v/>
      </c>
      <c r="E32" s="38">
        <f>(1-Parametros!$B$4)*B32</f>
        <v/>
      </c>
      <c r="F32" s="38">
        <f>-Parametros!$B$8*H31</f>
        <v/>
      </c>
      <c r="G32" s="39">
        <f>C32+D32+E32+F32</f>
        <v/>
      </c>
      <c r="H32" s="19">
        <f>IF(G32&gt;=Parametros!$B$10,1,0)</f>
        <v/>
      </c>
      <c r="I32" s="22" t="n"/>
      <c r="J32" s="40">
        <f>Parametros!$B$5*N31</f>
        <v/>
      </c>
      <c r="K32" s="40">
        <f>Parametros!$B$7*G32</f>
        <v/>
      </c>
      <c r="L32" s="40">
        <f>(1-Parametros!$B$5)*B32</f>
        <v/>
      </c>
      <c r="M32" s="40">
        <f>-Parametros!$B$9*O31</f>
        <v/>
      </c>
      <c r="N32" s="41">
        <f>J32+K32+L32+M32</f>
        <v/>
      </c>
      <c r="O32" s="19">
        <f>IF(N32&gt;=Parametros!$B$10,1,0)</f>
        <v/>
      </c>
      <c r="P32" s="22" t="n"/>
      <c r="Q32" s="42">
        <f>Parametros!$B$11*H32+(1-Parametros!$B$11)*O32</f>
        <v/>
      </c>
    </row>
    <row r="33" ht="17" customHeight="1">
      <c r="A33" s="36" t="n">
        <v>28</v>
      </c>
      <c r="B33" s="37">
        <f>Datos!$B$31</f>
        <v/>
      </c>
      <c r="C33" s="38">
        <f>Parametros!$B$4*G32</f>
        <v/>
      </c>
      <c r="D33" s="38">
        <f>Parametros!$B$6*N32</f>
        <v/>
      </c>
      <c r="E33" s="38">
        <f>(1-Parametros!$B$4)*B33</f>
        <v/>
      </c>
      <c r="F33" s="38">
        <f>-Parametros!$B$8*H32</f>
        <v/>
      </c>
      <c r="G33" s="39">
        <f>C33+D33+E33+F33</f>
        <v/>
      </c>
      <c r="H33" s="19">
        <f>IF(G33&gt;=Parametros!$B$10,1,0)</f>
        <v/>
      </c>
      <c r="I33" s="22" t="n"/>
      <c r="J33" s="40">
        <f>Parametros!$B$5*N32</f>
        <v/>
      </c>
      <c r="K33" s="40">
        <f>Parametros!$B$7*G33</f>
        <v/>
      </c>
      <c r="L33" s="40">
        <f>(1-Parametros!$B$5)*B33</f>
        <v/>
      </c>
      <c r="M33" s="40">
        <f>-Parametros!$B$9*O32</f>
        <v/>
      </c>
      <c r="N33" s="41">
        <f>J33+K33+L33+M33</f>
        <v/>
      </c>
      <c r="O33" s="19">
        <f>IF(N33&gt;=Parametros!$B$10,1,0)</f>
        <v/>
      </c>
      <c r="P33" s="22" t="n"/>
      <c r="Q33" s="42">
        <f>Parametros!$B$11*H33+(1-Parametros!$B$11)*O33</f>
        <v/>
      </c>
    </row>
    <row r="34" ht="17" customHeight="1">
      <c r="A34" s="36" t="n">
        <v>29</v>
      </c>
      <c r="B34" s="37">
        <f>Datos!$B$32</f>
        <v/>
      </c>
      <c r="C34" s="38">
        <f>Parametros!$B$4*G33</f>
        <v/>
      </c>
      <c r="D34" s="38">
        <f>Parametros!$B$6*N33</f>
        <v/>
      </c>
      <c r="E34" s="38">
        <f>(1-Parametros!$B$4)*B34</f>
        <v/>
      </c>
      <c r="F34" s="38">
        <f>-Parametros!$B$8*H33</f>
        <v/>
      </c>
      <c r="G34" s="39">
        <f>C34+D34+E34+F34</f>
        <v/>
      </c>
      <c r="H34" s="19">
        <f>IF(G34&gt;=Parametros!$B$10,1,0)</f>
        <v/>
      </c>
      <c r="I34" s="22" t="n"/>
      <c r="J34" s="40">
        <f>Parametros!$B$5*N33</f>
        <v/>
      </c>
      <c r="K34" s="40">
        <f>Parametros!$B$7*G34</f>
        <v/>
      </c>
      <c r="L34" s="40">
        <f>(1-Parametros!$B$5)*B34</f>
        <v/>
      </c>
      <c r="M34" s="40">
        <f>-Parametros!$B$9*O33</f>
        <v/>
      </c>
      <c r="N34" s="41">
        <f>J34+K34+L34+M34</f>
        <v/>
      </c>
      <c r="O34" s="19">
        <f>IF(N34&gt;=Parametros!$B$10,1,0)</f>
        <v/>
      </c>
      <c r="P34" s="22" t="n"/>
      <c r="Q34" s="42">
        <f>Parametros!$B$11*H34+(1-Parametros!$B$11)*O34</f>
        <v/>
      </c>
    </row>
    <row r="35" ht="17" customHeight="1">
      <c r="A35" s="36" t="n">
        <v>30</v>
      </c>
      <c r="B35" s="37">
        <f>Datos!$B$33</f>
        <v/>
      </c>
      <c r="C35" s="38">
        <f>Parametros!$B$4*G34</f>
        <v/>
      </c>
      <c r="D35" s="38">
        <f>Parametros!$B$6*N34</f>
        <v/>
      </c>
      <c r="E35" s="38">
        <f>(1-Parametros!$B$4)*B35</f>
        <v/>
      </c>
      <c r="F35" s="38">
        <f>-Parametros!$B$8*H34</f>
        <v/>
      </c>
      <c r="G35" s="39">
        <f>C35+D35+E35+F35</f>
        <v/>
      </c>
      <c r="H35" s="19">
        <f>IF(G35&gt;=Parametros!$B$10,1,0)</f>
        <v/>
      </c>
      <c r="I35" s="22" t="n"/>
      <c r="J35" s="40">
        <f>Parametros!$B$5*N34</f>
        <v/>
      </c>
      <c r="K35" s="40">
        <f>Parametros!$B$7*G35</f>
        <v/>
      </c>
      <c r="L35" s="40">
        <f>(1-Parametros!$B$5)*B35</f>
        <v/>
      </c>
      <c r="M35" s="40">
        <f>-Parametros!$B$9*O34</f>
        <v/>
      </c>
      <c r="N35" s="41">
        <f>J35+K35+L35+M35</f>
        <v/>
      </c>
      <c r="O35" s="19">
        <f>IF(N35&gt;=Parametros!$B$10,1,0)</f>
        <v/>
      </c>
      <c r="P35" s="22" t="n"/>
      <c r="Q35" s="42">
        <f>Parametros!$B$11*H35+(1-Parametros!$B$11)*O35</f>
        <v/>
      </c>
    </row>
    <row r="36" ht="17" customHeight="1">
      <c r="A36" s="36" t="n">
        <v>31</v>
      </c>
      <c r="B36" s="37">
        <f>Datos!$B$34</f>
        <v/>
      </c>
      <c r="C36" s="38">
        <f>Parametros!$B$4*G35</f>
        <v/>
      </c>
      <c r="D36" s="38">
        <f>Parametros!$B$6*N35</f>
        <v/>
      </c>
      <c r="E36" s="38">
        <f>(1-Parametros!$B$4)*B36</f>
        <v/>
      </c>
      <c r="F36" s="38">
        <f>-Parametros!$B$8*H35</f>
        <v/>
      </c>
      <c r="G36" s="39">
        <f>C36+D36+E36+F36</f>
        <v/>
      </c>
      <c r="H36" s="19">
        <f>IF(G36&gt;=Parametros!$B$10,1,0)</f>
        <v/>
      </c>
      <c r="I36" s="22" t="n"/>
      <c r="J36" s="40">
        <f>Parametros!$B$5*N35</f>
        <v/>
      </c>
      <c r="K36" s="40">
        <f>Parametros!$B$7*G36</f>
        <v/>
      </c>
      <c r="L36" s="40">
        <f>(1-Parametros!$B$5)*B36</f>
        <v/>
      </c>
      <c r="M36" s="40">
        <f>-Parametros!$B$9*O35</f>
        <v/>
      </c>
      <c r="N36" s="41">
        <f>J36+K36+L36+M36</f>
        <v/>
      </c>
      <c r="O36" s="19">
        <f>IF(N36&gt;=Parametros!$B$10,1,0)</f>
        <v/>
      </c>
      <c r="P36" s="22" t="n"/>
      <c r="Q36" s="42">
        <f>Parametros!$B$11*H36+(1-Parametros!$B$11)*O36</f>
        <v/>
      </c>
    </row>
    <row r="37" ht="17" customHeight="1">
      <c r="A37" s="36" t="n">
        <v>32</v>
      </c>
      <c r="B37" s="37">
        <f>Datos!$B$35</f>
        <v/>
      </c>
      <c r="C37" s="38">
        <f>Parametros!$B$4*G36</f>
        <v/>
      </c>
      <c r="D37" s="38">
        <f>Parametros!$B$6*N36</f>
        <v/>
      </c>
      <c r="E37" s="38">
        <f>(1-Parametros!$B$4)*B37</f>
        <v/>
      </c>
      <c r="F37" s="38">
        <f>-Parametros!$B$8*H36</f>
        <v/>
      </c>
      <c r="G37" s="39">
        <f>C37+D37+E37+F37</f>
        <v/>
      </c>
      <c r="H37" s="19">
        <f>IF(G37&gt;=Parametros!$B$10,1,0)</f>
        <v/>
      </c>
      <c r="I37" s="22" t="n"/>
      <c r="J37" s="40">
        <f>Parametros!$B$5*N36</f>
        <v/>
      </c>
      <c r="K37" s="40">
        <f>Parametros!$B$7*G37</f>
        <v/>
      </c>
      <c r="L37" s="40">
        <f>(1-Parametros!$B$5)*B37</f>
        <v/>
      </c>
      <c r="M37" s="40">
        <f>-Parametros!$B$9*O36</f>
        <v/>
      </c>
      <c r="N37" s="41">
        <f>J37+K37+L37+M37</f>
        <v/>
      </c>
      <c r="O37" s="19">
        <f>IF(N37&gt;=Parametros!$B$10,1,0)</f>
        <v/>
      </c>
      <c r="P37" s="22" t="n"/>
      <c r="Q37" s="42">
        <f>Parametros!$B$11*H37+(1-Parametros!$B$11)*O37</f>
        <v/>
      </c>
    </row>
    <row r="38" ht="17" customHeight="1">
      <c r="A38" s="36" t="n">
        <v>33</v>
      </c>
      <c r="B38" s="37">
        <f>Datos!$B$36</f>
        <v/>
      </c>
      <c r="C38" s="38">
        <f>Parametros!$B$4*G37</f>
        <v/>
      </c>
      <c r="D38" s="38">
        <f>Parametros!$B$6*N37</f>
        <v/>
      </c>
      <c r="E38" s="38">
        <f>(1-Parametros!$B$4)*B38</f>
        <v/>
      </c>
      <c r="F38" s="38">
        <f>-Parametros!$B$8*H37</f>
        <v/>
      </c>
      <c r="G38" s="39">
        <f>C38+D38+E38+F38</f>
        <v/>
      </c>
      <c r="H38" s="19">
        <f>IF(G38&gt;=Parametros!$B$10,1,0)</f>
        <v/>
      </c>
      <c r="I38" s="22" t="n"/>
      <c r="J38" s="40">
        <f>Parametros!$B$5*N37</f>
        <v/>
      </c>
      <c r="K38" s="40">
        <f>Parametros!$B$7*G38</f>
        <v/>
      </c>
      <c r="L38" s="40">
        <f>(1-Parametros!$B$5)*B38</f>
        <v/>
      </c>
      <c r="M38" s="40">
        <f>-Parametros!$B$9*O37</f>
        <v/>
      </c>
      <c r="N38" s="41">
        <f>J38+K38+L38+M38</f>
        <v/>
      </c>
      <c r="O38" s="19">
        <f>IF(N38&gt;=Parametros!$B$10,1,0)</f>
        <v/>
      </c>
      <c r="P38" s="22" t="n"/>
      <c r="Q38" s="42">
        <f>Parametros!$B$11*H38+(1-Parametros!$B$11)*O38</f>
        <v/>
      </c>
    </row>
    <row r="39" ht="17" customHeight="1">
      <c r="A39" s="36" t="n">
        <v>34</v>
      </c>
      <c r="B39" s="37">
        <f>Datos!$B$37</f>
        <v/>
      </c>
      <c r="C39" s="38">
        <f>Parametros!$B$4*G38</f>
        <v/>
      </c>
      <c r="D39" s="38">
        <f>Parametros!$B$6*N38</f>
        <v/>
      </c>
      <c r="E39" s="38">
        <f>(1-Parametros!$B$4)*B39</f>
        <v/>
      </c>
      <c r="F39" s="38">
        <f>-Parametros!$B$8*H38</f>
        <v/>
      </c>
      <c r="G39" s="39">
        <f>C39+D39+E39+F39</f>
        <v/>
      </c>
      <c r="H39" s="19">
        <f>IF(G39&gt;=Parametros!$B$10,1,0)</f>
        <v/>
      </c>
      <c r="I39" s="22" t="n"/>
      <c r="J39" s="40">
        <f>Parametros!$B$5*N38</f>
        <v/>
      </c>
      <c r="K39" s="40">
        <f>Parametros!$B$7*G39</f>
        <v/>
      </c>
      <c r="L39" s="40">
        <f>(1-Parametros!$B$5)*B39</f>
        <v/>
      </c>
      <c r="M39" s="40">
        <f>-Parametros!$B$9*O38</f>
        <v/>
      </c>
      <c r="N39" s="41">
        <f>J39+K39+L39+M39</f>
        <v/>
      </c>
      <c r="O39" s="19">
        <f>IF(N39&gt;=Parametros!$B$10,1,0)</f>
        <v/>
      </c>
      <c r="P39" s="22" t="n"/>
      <c r="Q39" s="42">
        <f>Parametros!$B$11*H39+(1-Parametros!$B$11)*O39</f>
        <v/>
      </c>
    </row>
    <row r="40" ht="17" customHeight="1">
      <c r="A40" s="36" t="n">
        <v>35</v>
      </c>
      <c r="B40" s="37">
        <f>Datos!$B$38</f>
        <v/>
      </c>
      <c r="C40" s="38">
        <f>Parametros!$B$4*G39</f>
        <v/>
      </c>
      <c r="D40" s="38">
        <f>Parametros!$B$6*N39</f>
        <v/>
      </c>
      <c r="E40" s="38">
        <f>(1-Parametros!$B$4)*B40</f>
        <v/>
      </c>
      <c r="F40" s="38">
        <f>-Parametros!$B$8*H39</f>
        <v/>
      </c>
      <c r="G40" s="39">
        <f>C40+D40+E40+F40</f>
        <v/>
      </c>
      <c r="H40" s="19">
        <f>IF(G40&gt;=Parametros!$B$10,1,0)</f>
        <v/>
      </c>
      <c r="I40" s="22" t="n"/>
      <c r="J40" s="40">
        <f>Parametros!$B$5*N39</f>
        <v/>
      </c>
      <c r="K40" s="40">
        <f>Parametros!$B$7*G40</f>
        <v/>
      </c>
      <c r="L40" s="40">
        <f>(1-Parametros!$B$5)*B40</f>
        <v/>
      </c>
      <c r="M40" s="40">
        <f>-Parametros!$B$9*O39</f>
        <v/>
      </c>
      <c r="N40" s="41">
        <f>J40+K40+L40+M40</f>
        <v/>
      </c>
      <c r="O40" s="19">
        <f>IF(N40&gt;=Parametros!$B$10,1,0)</f>
        <v/>
      </c>
      <c r="P40" s="22" t="n"/>
      <c r="Q40" s="42">
        <f>Parametros!$B$11*H40+(1-Parametros!$B$11)*O40</f>
        <v/>
      </c>
    </row>
    <row r="41" ht="17" customHeight="1">
      <c r="A41" s="36" t="n">
        <v>36</v>
      </c>
      <c r="B41" s="37">
        <f>Datos!$B$39</f>
        <v/>
      </c>
      <c r="C41" s="38">
        <f>Parametros!$B$4*G40</f>
        <v/>
      </c>
      <c r="D41" s="38">
        <f>Parametros!$B$6*N40</f>
        <v/>
      </c>
      <c r="E41" s="38">
        <f>(1-Parametros!$B$4)*B41</f>
        <v/>
      </c>
      <c r="F41" s="38">
        <f>-Parametros!$B$8*H40</f>
        <v/>
      </c>
      <c r="G41" s="39">
        <f>C41+D41+E41+F41</f>
        <v/>
      </c>
      <c r="H41" s="19">
        <f>IF(G41&gt;=Parametros!$B$10,1,0)</f>
        <v/>
      </c>
      <c r="I41" s="22" t="n"/>
      <c r="J41" s="40">
        <f>Parametros!$B$5*N40</f>
        <v/>
      </c>
      <c r="K41" s="40">
        <f>Parametros!$B$7*G41</f>
        <v/>
      </c>
      <c r="L41" s="40">
        <f>(1-Parametros!$B$5)*B41</f>
        <v/>
      </c>
      <c r="M41" s="40">
        <f>-Parametros!$B$9*O40</f>
        <v/>
      </c>
      <c r="N41" s="41">
        <f>J41+K41+L41+M41</f>
        <v/>
      </c>
      <c r="O41" s="19">
        <f>IF(N41&gt;=Parametros!$B$10,1,0)</f>
        <v/>
      </c>
      <c r="P41" s="22" t="n"/>
      <c r="Q41" s="42">
        <f>Parametros!$B$11*H41+(1-Parametros!$B$11)*O41</f>
        <v/>
      </c>
    </row>
    <row r="42" ht="17" customHeight="1">
      <c r="A42" s="36" t="n">
        <v>37</v>
      </c>
      <c r="B42" s="37">
        <f>Datos!$B$40</f>
        <v/>
      </c>
      <c r="C42" s="38">
        <f>Parametros!$B$4*G41</f>
        <v/>
      </c>
      <c r="D42" s="38">
        <f>Parametros!$B$6*N41</f>
        <v/>
      </c>
      <c r="E42" s="38">
        <f>(1-Parametros!$B$4)*B42</f>
        <v/>
      </c>
      <c r="F42" s="38">
        <f>-Parametros!$B$8*H41</f>
        <v/>
      </c>
      <c r="G42" s="39">
        <f>C42+D42+E42+F42</f>
        <v/>
      </c>
      <c r="H42" s="19">
        <f>IF(G42&gt;=Parametros!$B$10,1,0)</f>
        <v/>
      </c>
      <c r="I42" s="22" t="n"/>
      <c r="J42" s="40">
        <f>Parametros!$B$5*N41</f>
        <v/>
      </c>
      <c r="K42" s="40">
        <f>Parametros!$B$7*G42</f>
        <v/>
      </c>
      <c r="L42" s="40">
        <f>(1-Parametros!$B$5)*B42</f>
        <v/>
      </c>
      <c r="M42" s="40">
        <f>-Parametros!$B$9*O41</f>
        <v/>
      </c>
      <c r="N42" s="41">
        <f>J42+K42+L42+M42</f>
        <v/>
      </c>
      <c r="O42" s="19">
        <f>IF(N42&gt;=Parametros!$B$10,1,0)</f>
        <v/>
      </c>
      <c r="P42" s="22" t="n"/>
      <c r="Q42" s="42">
        <f>Parametros!$B$11*H42+(1-Parametros!$B$11)*O42</f>
        <v/>
      </c>
    </row>
    <row r="43" ht="17" customHeight="1">
      <c r="A43" s="36" t="n">
        <v>38</v>
      </c>
      <c r="B43" s="37">
        <f>Datos!$B$41</f>
        <v/>
      </c>
      <c r="C43" s="38">
        <f>Parametros!$B$4*G42</f>
        <v/>
      </c>
      <c r="D43" s="38">
        <f>Parametros!$B$6*N42</f>
        <v/>
      </c>
      <c r="E43" s="38">
        <f>(1-Parametros!$B$4)*B43</f>
        <v/>
      </c>
      <c r="F43" s="38">
        <f>-Parametros!$B$8*H42</f>
        <v/>
      </c>
      <c r="G43" s="39">
        <f>C43+D43+E43+F43</f>
        <v/>
      </c>
      <c r="H43" s="19">
        <f>IF(G43&gt;=Parametros!$B$10,1,0)</f>
        <v/>
      </c>
      <c r="I43" s="22" t="n"/>
      <c r="J43" s="40">
        <f>Parametros!$B$5*N42</f>
        <v/>
      </c>
      <c r="K43" s="40">
        <f>Parametros!$B$7*G43</f>
        <v/>
      </c>
      <c r="L43" s="40">
        <f>(1-Parametros!$B$5)*B43</f>
        <v/>
      </c>
      <c r="M43" s="40">
        <f>-Parametros!$B$9*O42</f>
        <v/>
      </c>
      <c r="N43" s="41">
        <f>J43+K43+L43+M43</f>
        <v/>
      </c>
      <c r="O43" s="19">
        <f>IF(N43&gt;=Parametros!$B$10,1,0)</f>
        <v/>
      </c>
      <c r="P43" s="22" t="n"/>
      <c r="Q43" s="42">
        <f>Parametros!$B$11*H43+(1-Parametros!$B$11)*O43</f>
        <v/>
      </c>
    </row>
    <row r="44" ht="17" customHeight="1">
      <c r="A44" s="36" t="n">
        <v>39</v>
      </c>
      <c r="B44" s="37">
        <f>Datos!$B$42</f>
        <v/>
      </c>
      <c r="C44" s="38">
        <f>Parametros!$B$4*G43</f>
        <v/>
      </c>
      <c r="D44" s="38">
        <f>Parametros!$B$6*N43</f>
        <v/>
      </c>
      <c r="E44" s="38">
        <f>(1-Parametros!$B$4)*B44</f>
        <v/>
      </c>
      <c r="F44" s="38">
        <f>-Parametros!$B$8*H43</f>
        <v/>
      </c>
      <c r="G44" s="39">
        <f>C44+D44+E44+F44</f>
        <v/>
      </c>
      <c r="H44" s="19">
        <f>IF(G44&gt;=Parametros!$B$10,1,0)</f>
        <v/>
      </c>
      <c r="I44" s="22" t="n"/>
      <c r="J44" s="40">
        <f>Parametros!$B$5*N43</f>
        <v/>
      </c>
      <c r="K44" s="40">
        <f>Parametros!$B$7*G44</f>
        <v/>
      </c>
      <c r="L44" s="40">
        <f>(1-Parametros!$B$5)*B44</f>
        <v/>
      </c>
      <c r="M44" s="40">
        <f>-Parametros!$B$9*O43</f>
        <v/>
      </c>
      <c r="N44" s="41">
        <f>J44+K44+L44+M44</f>
        <v/>
      </c>
      <c r="O44" s="19">
        <f>IF(N44&gt;=Parametros!$B$10,1,0)</f>
        <v/>
      </c>
      <c r="P44" s="22" t="n"/>
      <c r="Q44" s="42">
        <f>Parametros!$B$11*H44+(1-Parametros!$B$11)*O44</f>
        <v/>
      </c>
    </row>
    <row r="45" ht="17" customHeight="1">
      <c r="A45" s="36" t="n">
        <v>40</v>
      </c>
      <c r="B45" s="37">
        <f>Datos!$B$43</f>
        <v/>
      </c>
      <c r="C45" s="38">
        <f>Parametros!$B$4*G44</f>
        <v/>
      </c>
      <c r="D45" s="38">
        <f>Parametros!$B$6*N44</f>
        <v/>
      </c>
      <c r="E45" s="38">
        <f>(1-Parametros!$B$4)*B45</f>
        <v/>
      </c>
      <c r="F45" s="38">
        <f>-Parametros!$B$8*H44</f>
        <v/>
      </c>
      <c r="G45" s="39">
        <f>C45+D45+E45+F45</f>
        <v/>
      </c>
      <c r="H45" s="19">
        <f>IF(G45&gt;=Parametros!$B$10,1,0)</f>
        <v/>
      </c>
      <c r="I45" s="22" t="n"/>
      <c r="J45" s="40">
        <f>Parametros!$B$5*N44</f>
        <v/>
      </c>
      <c r="K45" s="40">
        <f>Parametros!$B$7*G45</f>
        <v/>
      </c>
      <c r="L45" s="40">
        <f>(1-Parametros!$B$5)*B45</f>
        <v/>
      </c>
      <c r="M45" s="40">
        <f>-Parametros!$B$9*O44</f>
        <v/>
      </c>
      <c r="N45" s="41">
        <f>J45+K45+L45+M45</f>
        <v/>
      </c>
      <c r="O45" s="19">
        <f>IF(N45&gt;=Parametros!$B$10,1,0)</f>
        <v/>
      </c>
      <c r="P45" s="22" t="n"/>
      <c r="Q45" s="42">
        <f>Parametros!$B$11*H45+(1-Parametros!$B$11)*O45</f>
        <v/>
      </c>
    </row>
    <row r="46" ht="17" customHeight="1">
      <c r="A46" s="36" t="n">
        <v>41</v>
      </c>
      <c r="B46" s="37">
        <f>Datos!$B$44</f>
        <v/>
      </c>
      <c r="C46" s="38">
        <f>Parametros!$B$4*G45</f>
        <v/>
      </c>
      <c r="D46" s="38">
        <f>Parametros!$B$6*N45</f>
        <v/>
      </c>
      <c r="E46" s="38">
        <f>(1-Parametros!$B$4)*B46</f>
        <v/>
      </c>
      <c r="F46" s="38">
        <f>-Parametros!$B$8*H45</f>
        <v/>
      </c>
      <c r="G46" s="39">
        <f>C46+D46+E46+F46</f>
        <v/>
      </c>
      <c r="H46" s="19">
        <f>IF(G46&gt;=Parametros!$B$10,1,0)</f>
        <v/>
      </c>
      <c r="I46" s="22" t="n"/>
      <c r="J46" s="40">
        <f>Parametros!$B$5*N45</f>
        <v/>
      </c>
      <c r="K46" s="40">
        <f>Parametros!$B$7*G46</f>
        <v/>
      </c>
      <c r="L46" s="40">
        <f>(1-Parametros!$B$5)*B46</f>
        <v/>
      </c>
      <c r="M46" s="40">
        <f>-Parametros!$B$9*O45</f>
        <v/>
      </c>
      <c r="N46" s="41">
        <f>J46+K46+L46+M46</f>
        <v/>
      </c>
      <c r="O46" s="19">
        <f>IF(N46&gt;=Parametros!$B$10,1,0)</f>
        <v/>
      </c>
      <c r="P46" s="22" t="n"/>
      <c r="Q46" s="42">
        <f>Parametros!$B$11*H46+(1-Parametros!$B$11)*O46</f>
        <v/>
      </c>
    </row>
    <row r="47" ht="17" customHeight="1">
      <c r="A47" s="36" t="n">
        <v>42</v>
      </c>
      <c r="B47" s="37">
        <f>Datos!$B$45</f>
        <v/>
      </c>
      <c r="C47" s="38">
        <f>Parametros!$B$4*G46</f>
        <v/>
      </c>
      <c r="D47" s="38">
        <f>Parametros!$B$6*N46</f>
        <v/>
      </c>
      <c r="E47" s="38">
        <f>(1-Parametros!$B$4)*B47</f>
        <v/>
      </c>
      <c r="F47" s="38">
        <f>-Parametros!$B$8*H46</f>
        <v/>
      </c>
      <c r="G47" s="39">
        <f>C47+D47+E47+F47</f>
        <v/>
      </c>
      <c r="H47" s="19">
        <f>IF(G47&gt;=Parametros!$B$10,1,0)</f>
        <v/>
      </c>
      <c r="I47" s="22" t="n"/>
      <c r="J47" s="40">
        <f>Parametros!$B$5*N46</f>
        <v/>
      </c>
      <c r="K47" s="40">
        <f>Parametros!$B$7*G47</f>
        <v/>
      </c>
      <c r="L47" s="40">
        <f>(1-Parametros!$B$5)*B47</f>
        <v/>
      </c>
      <c r="M47" s="40">
        <f>-Parametros!$B$9*O46</f>
        <v/>
      </c>
      <c r="N47" s="41">
        <f>J47+K47+L47+M47</f>
        <v/>
      </c>
      <c r="O47" s="19">
        <f>IF(N47&gt;=Parametros!$B$10,1,0)</f>
        <v/>
      </c>
      <c r="P47" s="22" t="n"/>
      <c r="Q47" s="42">
        <f>Parametros!$B$11*H47+(1-Parametros!$B$11)*O47</f>
        <v/>
      </c>
    </row>
    <row r="48" ht="17" customHeight="1">
      <c r="A48" s="36" t="n">
        <v>43</v>
      </c>
      <c r="B48" s="37">
        <f>Datos!$B$46</f>
        <v/>
      </c>
      <c r="C48" s="38">
        <f>Parametros!$B$4*G47</f>
        <v/>
      </c>
      <c r="D48" s="38">
        <f>Parametros!$B$6*N47</f>
        <v/>
      </c>
      <c r="E48" s="38">
        <f>(1-Parametros!$B$4)*B48</f>
        <v/>
      </c>
      <c r="F48" s="38">
        <f>-Parametros!$B$8*H47</f>
        <v/>
      </c>
      <c r="G48" s="39">
        <f>C48+D48+E48+F48</f>
        <v/>
      </c>
      <c r="H48" s="19">
        <f>IF(G48&gt;=Parametros!$B$10,1,0)</f>
        <v/>
      </c>
      <c r="I48" s="22" t="n"/>
      <c r="J48" s="40">
        <f>Parametros!$B$5*N47</f>
        <v/>
      </c>
      <c r="K48" s="40">
        <f>Parametros!$B$7*G48</f>
        <v/>
      </c>
      <c r="L48" s="40">
        <f>(1-Parametros!$B$5)*B48</f>
        <v/>
      </c>
      <c r="M48" s="40">
        <f>-Parametros!$B$9*O47</f>
        <v/>
      </c>
      <c r="N48" s="41">
        <f>J48+K48+L48+M48</f>
        <v/>
      </c>
      <c r="O48" s="19">
        <f>IF(N48&gt;=Parametros!$B$10,1,0)</f>
        <v/>
      </c>
      <c r="P48" s="22" t="n"/>
      <c r="Q48" s="42">
        <f>Parametros!$B$11*H48+(1-Parametros!$B$11)*O48</f>
        <v/>
      </c>
    </row>
    <row r="49" ht="17" customHeight="1">
      <c r="A49" s="36" t="n">
        <v>44</v>
      </c>
      <c r="B49" s="37">
        <f>Datos!$B$47</f>
        <v/>
      </c>
      <c r="C49" s="38">
        <f>Parametros!$B$4*G48</f>
        <v/>
      </c>
      <c r="D49" s="38">
        <f>Parametros!$B$6*N48</f>
        <v/>
      </c>
      <c r="E49" s="38">
        <f>(1-Parametros!$B$4)*B49</f>
        <v/>
      </c>
      <c r="F49" s="38">
        <f>-Parametros!$B$8*H48</f>
        <v/>
      </c>
      <c r="G49" s="39">
        <f>C49+D49+E49+F49</f>
        <v/>
      </c>
      <c r="H49" s="19">
        <f>IF(G49&gt;=Parametros!$B$10,1,0)</f>
        <v/>
      </c>
      <c r="I49" s="22" t="n"/>
      <c r="J49" s="40">
        <f>Parametros!$B$5*N48</f>
        <v/>
      </c>
      <c r="K49" s="40">
        <f>Parametros!$B$7*G49</f>
        <v/>
      </c>
      <c r="L49" s="40">
        <f>(1-Parametros!$B$5)*B49</f>
        <v/>
      </c>
      <c r="M49" s="40">
        <f>-Parametros!$B$9*O48</f>
        <v/>
      </c>
      <c r="N49" s="41">
        <f>J49+K49+L49+M49</f>
        <v/>
      </c>
      <c r="O49" s="19">
        <f>IF(N49&gt;=Parametros!$B$10,1,0)</f>
        <v/>
      </c>
      <c r="P49" s="22" t="n"/>
      <c r="Q49" s="42">
        <f>Parametros!$B$11*H49+(1-Parametros!$B$11)*O49</f>
        <v/>
      </c>
    </row>
    <row r="50" ht="17" customHeight="1">
      <c r="A50" s="36" t="n">
        <v>45</v>
      </c>
      <c r="B50" s="37">
        <f>Datos!$B$48</f>
        <v/>
      </c>
      <c r="C50" s="38">
        <f>Parametros!$B$4*G49</f>
        <v/>
      </c>
      <c r="D50" s="38">
        <f>Parametros!$B$6*N49</f>
        <v/>
      </c>
      <c r="E50" s="38">
        <f>(1-Parametros!$B$4)*B50</f>
        <v/>
      </c>
      <c r="F50" s="38">
        <f>-Parametros!$B$8*H49</f>
        <v/>
      </c>
      <c r="G50" s="39">
        <f>C50+D50+E50+F50</f>
        <v/>
      </c>
      <c r="H50" s="19">
        <f>IF(G50&gt;=Parametros!$B$10,1,0)</f>
        <v/>
      </c>
      <c r="I50" s="22" t="n"/>
      <c r="J50" s="40">
        <f>Parametros!$B$5*N49</f>
        <v/>
      </c>
      <c r="K50" s="40">
        <f>Parametros!$B$7*G50</f>
        <v/>
      </c>
      <c r="L50" s="40">
        <f>(1-Parametros!$B$5)*B50</f>
        <v/>
      </c>
      <c r="M50" s="40">
        <f>-Parametros!$B$9*O49</f>
        <v/>
      </c>
      <c r="N50" s="41">
        <f>J50+K50+L50+M50</f>
        <v/>
      </c>
      <c r="O50" s="19">
        <f>IF(N50&gt;=Parametros!$B$10,1,0)</f>
        <v/>
      </c>
      <c r="P50" s="22" t="n"/>
      <c r="Q50" s="42">
        <f>Parametros!$B$11*H50+(1-Parametros!$B$11)*O50</f>
        <v/>
      </c>
    </row>
    <row r="51" ht="17" customHeight="1">
      <c r="A51" s="36" t="n">
        <v>46</v>
      </c>
      <c r="B51" s="37">
        <f>Datos!$B$49</f>
        <v/>
      </c>
      <c r="C51" s="38">
        <f>Parametros!$B$4*G50</f>
        <v/>
      </c>
      <c r="D51" s="38">
        <f>Parametros!$B$6*N50</f>
        <v/>
      </c>
      <c r="E51" s="38">
        <f>(1-Parametros!$B$4)*B51</f>
        <v/>
      </c>
      <c r="F51" s="38">
        <f>-Parametros!$B$8*H50</f>
        <v/>
      </c>
      <c r="G51" s="39">
        <f>C51+D51+E51+F51</f>
        <v/>
      </c>
      <c r="H51" s="19">
        <f>IF(G51&gt;=Parametros!$B$10,1,0)</f>
        <v/>
      </c>
      <c r="I51" s="22" t="n"/>
      <c r="J51" s="40">
        <f>Parametros!$B$5*N50</f>
        <v/>
      </c>
      <c r="K51" s="40">
        <f>Parametros!$B$7*G51</f>
        <v/>
      </c>
      <c r="L51" s="40">
        <f>(1-Parametros!$B$5)*B51</f>
        <v/>
      </c>
      <c r="M51" s="40">
        <f>-Parametros!$B$9*O50</f>
        <v/>
      </c>
      <c r="N51" s="41">
        <f>J51+K51+L51+M51</f>
        <v/>
      </c>
      <c r="O51" s="19">
        <f>IF(N51&gt;=Parametros!$B$10,1,0)</f>
        <v/>
      </c>
      <c r="P51" s="22" t="n"/>
      <c r="Q51" s="42">
        <f>Parametros!$B$11*H51+(1-Parametros!$B$11)*O51</f>
        <v/>
      </c>
    </row>
    <row r="52" ht="17" customHeight="1">
      <c r="A52" s="36" t="n">
        <v>47</v>
      </c>
      <c r="B52" s="37">
        <f>Datos!$B$50</f>
        <v/>
      </c>
      <c r="C52" s="38">
        <f>Parametros!$B$4*G51</f>
        <v/>
      </c>
      <c r="D52" s="38">
        <f>Parametros!$B$6*N51</f>
        <v/>
      </c>
      <c r="E52" s="38">
        <f>(1-Parametros!$B$4)*B52</f>
        <v/>
      </c>
      <c r="F52" s="38">
        <f>-Parametros!$B$8*H51</f>
        <v/>
      </c>
      <c r="G52" s="39">
        <f>C52+D52+E52+F52</f>
        <v/>
      </c>
      <c r="H52" s="19">
        <f>IF(G52&gt;=Parametros!$B$10,1,0)</f>
        <v/>
      </c>
      <c r="I52" s="22" t="n"/>
      <c r="J52" s="40">
        <f>Parametros!$B$5*N51</f>
        <v/>
      </c>
      <c r="K52" s="40">
        <f>Parametros!$B$7*G52</f>
        <v/>
      </c>
      <c r="L52" s="40">
        <f>(1-Parametros!$B$5)*B52</f>
        <v/>
      </c>
      <c r="M52" s="40">
        <f>-Parametros!$B$9*O51</f>
        <v/>
      </c>
      <c r="N52" s="41">
        <f>J52+K52+L52+M52</f>
        <v/>
      </c>
      <c r="O52" s="19">
        <f>IF(N52&gt;=Parametros!$B$10,1,0)</f>
        <v/>
      </c>
      <c r="P52" s="22" t="n"/>
      <c r="Q52" s="42">
        <f>Parametros!$B$11*H52+(1-Parametros!$B$11)*O52</f>
        <v/>
      </c>
    </row>
    <row r="53" ht="17" customHeight="1">
      <c r="A53" s="36" t="n">
        <v>48</v>
      </c>
      <c r="B53" s="37">
        <f>Datos!$B$51</f>
        <v/>
      </c>
      <c r="C53" s="38">
        <f>Parametros!$B$4*G52</f>
        <v/>
      </c>
      <c r="D53" s="38">
        <f>Parametros!$B$6*N52</f>
        <v/>
      </c>
      <c r="E53" s="38">
        <f>(1-Parametros!$B$4)*B53</f>
        <v/>
      </c>
      <c r="F53" s="38">
        <f>-Parametros!$B$8*H52</f>
        <v/>
      </c>
      <c r="G53" s="39">
        <f>C53+D53+E53+F53</f>
        <v/>
      </c>
      <c r="H53" s="19">
        <f>IF(G53&gt;=Parametros!$B$10,1,0)</f>
        <v/>
      </c>
      <c r="I53" s="22" t="n"/>
      <c r="J53" s="40">
        <f>Parametros!$B$5*N52</f>
        <v/>
      </c>
      <c r="K53" s="40">
        <f>Parametros!$B$7*G53</f>
        <v/>
      </c>
      <c r="L53" s="40">
        <f>(1-Parametros!$B$5)*B53</f>
        <v/>
      </c>
      <c r="M53" s="40">
        <f>-Parametros!$B$9*O52</f>
        <v/>
      </c>
      <c r="N53" s="41">
        <f>J53+K53+L53+M53</f>
        <v/>
      </c>
      <c r="O53" s="19">
        <f>IF(N53&gt;=Parametros!$B$10,1,0)</f>
        <v/>
      </c>
      <c r="P53" s="22" t="n"/>
      <c r="Q53" s="42">
        <f>Parametros!$B$11*H53+(1-Parametros!$B$11)*O53</f>
        <v/>
      </c>
    </row>
    <row r="54" ht="17" customHeight="1">
      <c r="A54" s="36" t="n">
        <v>49</v>
      </c>
      <c r="B54" s="37">
        <f>Datos!$B$52</f>
        <v/>
      </c>
      <c r="C54" s="38">
        <f>Parametros!$B$4*G53</f>
        <v/>
      </c>
      <c r="D54" s="38">
        <f>Parametros!$B$6*N53</f>
        <v/>
      </c>
      <c r="E54" s="38">
        <f>(1-Parametros!$B$4)*B54</f>
        <v/>
      </c>
      <c r="F54" s="38">
        <f>-Parametros!$B$8*H53</f>
        <v/>
      </c>
      <c r="G54" s="39">
        <f>C54+D54+E54+F54</f>
        <v/>
      </c>
      <c r="H54" s="19">
        <f>IF(G54&gt;=Parametros!$B$10,1,0)</f>
        <v/>
      </c>
      <c r="I54" s="22" t="n"/>
      <c r="J54" s="40">
        <f>Parametros!$B$5*N53</f>
        <v/>
      </c>
      <c r="K54" s="40">
        <f>Parametros!$B$7*G54</f>
        <v/>
      </c>
      <c r="L54" s="40">
        <f>(1-Parametros!$B$5)*B54</f>
        <v/>
      </c>
      <c r="M54" s="40">
        <f>-Parametros!$B$9*O53</f>
        <v/>
      </c>
      <c r="N54" s="41">
        <f>J54+K54+L54+M54</f>
        <v/>
      </c>
      <c r="O54" s="19">
        <f>IF(N54&gt;=Parametros!$B$10,1,0)</f>
        <v/>
      </c>
      <c r="P54" s="22" t="n"/>
      <c r="Q54" s="42">
        <f>Parametros!$B$11*H54+(1-Parametros!$B$11)*O54</f>
        <v/>
      </c>
    </row>
    <row r="55" ht="17" customHeight="1">
      <c r="A55" s="36" t="n">
        <v>50</v>
      </c>
      <c r="B55" s="37">
        <f>Datos!$B$53</f>
        <v/>
      </c>
      <c r="C55" s="38">
        <f>Parametros!$B$4*G54</f>
        <v/>
      </c>
      <c r="D55" s="38">
        <f>Parametros!$B$6*N54</f>
        <v/>
      </c>
      <c r="E55" s="38">
        <f>(1-Parametros!$B$4)*B55</f>
        <v/>
      </c>
      <c r="F55" s="38">
        <f>-Parametros!$B$8*H54</f>
        <v/>
      </c>
      <c r="G55" s="39">
        <f>C55+D55+E55+F55</f>
        <v/>
      </c>
      <c r="H55" s="19">
        <f>IF(G55&gt;=Parametros!$B$10,1,0)</f>
        <v/>
      </c>
      <c r="I55" s="22" t="n"/>
      <c r="J55" s="40">
        <f>Parametros!$B$5*N54</f>
        <v/>
      </c>
      <c r="K55" s="40">
        <f>Parametros!$B$7*G55</f>
        <v/>
      </c>
      <c r="L55" s="40">
        <f>(1-Parametros!$B$5)*B55</f>
        <v/>
      </c>
      <c r="M55" s="40">
        <f>-Parametros!$B$9*O54</f>
        <v/>
      </c>
      <c r="N55" s="41">
        <f>J55+K55+L55+M55</f>
        <v/>
      </c>
      <c r="O55" s="19">
        <f>IF(N55&gt;=Parametros!$B$10,1,0)</f>
        <v/>
      </c>
      <c r="P55" s="22" t="n"/>
      <c r="Q55" s="42">
        <f>Parametros!$B$11*H55+(1-Parametros!$B$11)*O55</f>
        <v/>
      </c>
    </row>
    <row r="56" ht="17" customHeight="1">
      <c r="A56" s="36" t="n">
        <v>51</v>
      </c>
      <c r="B56" s="37">
        <f>Datos!$B$54</f>
        <v/>
      </c>
      <c r="C56" s="38">
        <f>Parametros!$B$4*G55</f>
        <v/>
      </c>
      <c r="D56" s="38">
        <f>Parametros!$B$6*N55</f>
        <v/>
      </c>
      <c r="E56" s="38">
        <f>(1-Parametros!$B$4)*B56</f>
        <v/>
      </c>
      <c r="F56" s="38">
        <f>-Parametros!$B$8*H55</f>
        <v/>
      </c>
      <c r="G56" s="39">
        <f>C56+D56+E56+F56</f>
        <v/>
      </c>
      <c r="H56" s="19">
        <f>IF(G56&gt;=Parametros!$B$10,1,0)</f>
        <v/>
      </c>
      <c r="I56" s="22" t="n"/>
      <c r="J56" s="40">
        <f>Parametros!$B$5*N55</f>
        <v/>
      </c>
      <c r="K56" s="40">
        <f>Parametros!$B$7*G56</f>
        <v/>
      </c>
      <c r="L56" s="40">
        <f>(1-Parametros!$B$5)*B56</f>
        <v/>
      </c>
      <c r="M56" s="40">
        <f>-Parametros!$B$9*O55</f>
        <v/>
      </c>
      <c r="N56" s="41">
        <f>J56+K56+L56+M56</f>
        <v/>
      </c>
      <c r="O56" s="19">
        <f>IF(N56&gt;=Parametros!$B$10,1,0)</f>
        <v/>
      </c>
      <c r="P56" s="22" t="n"/>
      <c r="Q56" s="42">
        <f>Parametros!$B$11*H56+(1-Parametros!$B$11)*O56</f>
        <v/>
      </c>
    </row>
    <row r="57" ht="17" customHeight="1">
      <c r="A57" s="36" t="n">
        <v>52</v>
      </c>
      <c r="B57" s="37">
        <f>Datos!$B$55</f>
        <v/>
      </c>
      <c r="C57" s="38">
        <f>Parametros!$B$4*G56</f>
        <v/>
      </c>
      <c r="D57" s="38">
        <f>Parametros!$B$6*N56</f>
        <v/>
      </c>
      <c r="E57" s="38">
        <f>(1-Parametros!$B$4)*B57</f>
        <v/>
      </c>
      <c r="F57" s="38">
        <f>-Parametros!$B$8*H56</f>
        <v/>
      </c>
      <c r="G57" s="39">
        <f>C57+D57+E57+F57</f>
        <v/>
      </c>
      <c r="H57" s="19">
        <f>IF(G57&gt;=Parametros!$B$10,1,0)</f>
        <v/>
      </c>
      <c r="I57" s="22" t="n"/>
      <c r="J57" s="40">
        <f>Parametros!$B$5*N56</f>
        <v/>
      </c>
      <c r="K57" s="40">
        <f>Parametros!$B$7*G57</f>
        <v/>
      </c>
      <c r="L57" s="40">
        <f>(1-Parametros!$B$5)*B57</f>
        <v/>
      </c>
      <c r="M57" s="40">
        <f>-Parametros!$B$9*O56</f>
        <v/>
      </c>
      <c r="N57" s="41">
        <f>J57+K57+L57+M57</f>
        <v/>
      </c>
      <c r="O57" s="19">
        <f>IF(N57&gt;=Parametros!$B$10,1,0)</f>
        <v/>
      </c>
      <c r="P57" s="22" t="n"/>
      <c r="Q57" s="42">
        <f>Parametros!$B$11*H57+(1-Parametros!$B$11)*O57</f>
        <v/>
      </c>
    </row>
    <row r="58" ht="17" customHeight="1">
      <c r="A58" s="36" t="n">
        <v>53</v>
      </c>
      <c r="B58" s="37">
        <f>Datos!$B$56</f>
        <v/>
      </c>
      <c r="C58" s="38">
        <f>Parametros!$B$4*G57</f>
        <v/>
      </c>
      <c r="D58" s="38">
        <f>Parametros!$B$6*N57</f>
        <v/>
      </c>
      <c r="E58" s="38">
        <f>(1-Parametros!$B$4)*B58</f>
        <v/>
      </c>
      <c r="F58" s="38">
        <f>-Parametros!$B$8*H57</f>
        <v/>
      </c>
      <c r="G58" s="39">
        <f>C58+D58+E58+F58</f>
        <v/>
      </c>
      <c r="H58" s="19">
        <f>IF(G58&gt;=Parametros!$B$10,1,0)</f>
        <v/>
      </c>
      <c r="I58" s="22" t="n"/>
      <c r="J58" s="40">
        <f>Parametros!$B$5*N57</f>
        <v/>
      </c>
      <c r="K58" s="40">
        <f>Parametros!$B$7*G58</f>
        <v/>
      </c>
      <c r="L58" s="40">
        <f>(1-Parametros!$B$5)*B58</f>
        <v/>
      </c>
      <c r="M58" s="40">
        <f>-Parametros!$B$9*O57</f>
        <v/>
      </c>
      <c r="N58" s="41">
        <f>J58+K58+L58+M58</f>
        <v/>
      </c>
      <c r="O58" s="19">
        <f>IF(N58&gt;=Parametros!$B$10,1,0)</f>
        <v/>
      </c>
      <c r="P58" s="22" t="n"/>
      <c r="Q58" s="42">
        <f>Parametros!$B$11*H58+(1-Parametros!$B$11)*O58</f>
        <v/>
      </c>
    </row>
    <row r="59" ht="17" customHeight="1">
      <c r="A59" s="36" t="n">
        <v>54</v>
      </c>
      <c r="B59" s="37">
        <f>Datos!$B$57</f>
        <v/>
      </c>
      <c r="C59" s="38">
        <f>Parametros!$B$4*G58</f>
        <v/>
      </c>
      <c r="D59" s="38">
        <f>Parametros!$B$6*N58</f>
        <v/>
      </c>
      <c r="E59" s="38">
        <f>(1-Parametros!$B$4)*B59</f>
        <v/>
      </c>
      <c r="F59" s="38">
        <f>-Parametros!$B$8*H58</f>
        <v/>
      </c>
      <c r="G59" s="39">
        <f>C59+D59+E59+F59</f>
        <v/>
      </c>
      <c r="H59" s="19">
        <f>IF(G59&gt;=Parametros!$B$10,1,0)</f>
        <v/>
      </c>
      <c r="I59" s="22" t="n"/>
      <c r="J59" s="40">
        <f>Parametros!$B$5*N58</f>
        <v/>
      </c>
      <c r="K59" s="40">
        <f>Parametros!$B$7*G59</f>
        <v/>
      </c>
      <c r="L59" s="40">
        <f>(1-Parametros!$B$5)*B59</f>
        <v/>
      </c>
      <c r="M59" s="40">
        <f>-Parametros!$B$9*O58</f>
        <v/>
      </c>
      <c r="N59" s="41">
        <f>J59+K59+L59+M59</f>
        <v/>
      </c>
      <c r="O59" s="19">
        <f>IF(N59&gt;=Parametros!$B$10,1,0)</f>
        <v/>
      </c>
      <c r="P59" s="22" t="n"/>
      <c r="Q59" s="42">
        <f>Parametros!$B$11*H59+(1-Parametros!$B$11)*O59</f>
        <v/>
      </c>
    </row>
    <row r="60" ht="17" customHeight="1">
      <c r="A60" s="36" t="n">
        <v>55</v>
      </c>
      <c r="B60" s="37">
        <f>Datos!$B$58</f>
        <v/>
      </c>
      <c r="C60" s="38">
        <f>Parametros!$B$4*G59</f>
        <v/>
      </c>
      <c r="D60" s="38">
        <f>Parametros!$B$6*N59</f>
        <v/>
      </c>
      <c r="E60" s="38">
        <f>(1-Parametros!$B$4)*B60</f>
        <v/>
      </c>
      <c r="F60" s="38">
        <f>-Parametros!$B$8*H59</f>
        <v/>
      </c>
      <c r="G60" s="39">
        <f>C60+D60+E60+F60</f>
        <v/>
      </c>
      <c r="H60" s="19">
        <f>IF(G60&gt;=Parametros!$B$10,1,0)</f>
        <v/>
      </c>
      <c r="I60" s="22" t="n"/>
      <c r="J60" s="40">
        <f>Parametros!$B$5*N59</f>
        <v/>
      </c>
      <c r="K60" s="40">
        <f>Parametros!$B$7*G60</f>
        <v/>
      </c>
      <c r="L60" s="40">
        <f>(1-Parametros!$B$5)*B60</f>
        <v/>
      </c>
      <c r="M60" s="40">
        <f>-Parametros!$B$9*O59</f>
        <v/>
      </c>
      <c r="N60" s="41">
        <f>J60+K60+L60+M60</f>
        <v/>
      </c>
      <c r="O60" s="19">
        <f>IF(N60&gt;=Parametros!$B$10,1,0)</f>
        <v/>
      </c>
      <c r="P60" s="22" t="n"/>
      <c r="Q60" s="42">
        <f>Parametros!$B$11*H60+(1-Parametros!$B$11)*O60</f>
        <v/>
      </c>
    </row>
    <row r="61" ht="17" customHeight="1">
      <c r="A61" s="36" t="n">
        <v>56</v>
      </c>
      <c r="B61" s="37">
        <f>Datos!$B$59</f>
        <v/>
      </c>
      <c r="C61" s="38">
        <f>Parametros!$B$4*G60</f>
        <v/>
      </c>
      <c r="D61" s="38">
        <f>Parametros!$B$6*N60</f>
        <v/>
      </c>
      <c r="E61" s="38">
        <f>(1-Parametros!$B$4)*B61</f>
        <v/>
      </c>
      <c r="F61" s="38">
        <f>-Parametros!$B$8*H60</f>
        <v/>
      </c>
      <c r="G61" s="39">
        <f>C61+D61+E61+F61</f>
        <v/>
      </c>
      <c r="H61" s="19">
        <f>IF(G61&gt;=Parametros!$B$10,1,0)</f>
        <v/>
      </c>
      <c r="I61" s="22" t="n"/>
      <c r="J61" s="40">
        <f>Parametros!$B$5*N60</f>
        <v/>
      </c>
      <c r="K61" s="40">
        <f>Parametros!$B$7*G61</f>
        <v/>
      </c>
      <c r="L61" s="40">
        <f>(1-Parametros!$B$5)*B61</f>
        <v/>
      </c>
      <c r="M61" s="40">
        <f>-Parametros!$B$9*O60</f>
        <v/>
      </c>
      <c r="N61" s="41">
        <f>J61+K61+L61+M61</f>
        <v/>
      </c>
      <c r="O61" s="19">
        <f>IF(N61&gt;=Parametros!$B$10,1,0)</f>
        <v/>
      </c>
      <c r="P61" s="22" t="n"/>
      <c r="Q61" s="42">
        <f>Parametros!$B$11*H61+(1-Parametros!$B$11)*O61</f>
        <v/>
      </c>
    </row>
    <row r="62" ht="17" customHeight="1">
      <c r="A62" s="36" t="n">
        <v>57</v>
      </c>
      <c r="B62" s="37">
        <f>Datos!$B$60</f>
        <v/>
      </c>
      <c r="C62" s="38">
        <f>Parametros!$B$4*G61</f>
        <v/>
      </c>
      <c r="D62" s="38">
        <f>Parametros!$B$6*N61</f>
        <v/>
      </c>
      <c r="E62" s="38">
        <f>(1-Parametros!$B$4)*B62</f>
        <v/>
      </c>
      <c r="F62" s="38">
        <f>-Parametros!$B$8*H61</f>
        <v/>
      </c>
      <c r="G62" s="39">
        <f>C62+D62+E62+F62</f>
        <v/>
      </c>
      <c r="H62" s="19">
        <f>IF(G62&gt;=Parametros!$B$10,1,0)</f>
        <v/>
      </c>
      <c r="I62" s="22" t="n"/>
      <c r="J62" s="40">
        <f>Parametros!$B$5*N61</f>
        <v/>
      </c>
      <c r="K62" s="40">
        <f>Parametros!$B$7*G62</f>
        <v/>
      </c>
      <c r="L62" s="40">
        <f>(1-Parametros!$B$5)*B62</f>
        <v/>
      </c>
      <c r="M62" s="40">
        <f>-Parametros!$B$9*O61</f>
        <v/>
      </c>
      <c r="N62" s="41">
        <f>J62+K62+L62+M62</f>
        <v/>
      </c>
      <c r="O62" s="19">
        <f>IF(N62&gt;=Parametros!$B$10,1,0)</f>
        <v/>
      </c>
      <c r="P62" s="22" t="n"/>
      <c r="Q62" s="42">
        <f>Parametros!$B$11*H62+(1-Parametros!$B$11)*O62</f>
        <v/>
      </c>
    </row>
    <row r="63" ht="17" customHeight="1">
      <c r="A63" s="36" t="n">
        <v>58</v>
      </c>
      <c r="B63" s="37">
        <f>Datos!$B$61</f>
        <v/>
      </c>
      <c r="C63" s="38">
        <f>Parametros!$B$4*G62</f>
        <v/>
      </c>
      <c r="D63" s="38">
        <f>Parametros!$B$6*N62</f>
        <v/>
      </c>
      <c r="E63" s="38">
        <f>(1-Parametros!$B$4)*B63</f>
        <v/>
      </c>
      <c r="F63" s="38">
        <f>-Parametros!$B$8*H62</f>
        <v/>
      </c>
      <c r="G63" s="39">
        <f>C63+D63+E63+F63</f>
        <v/>
      </c>
      <c r="H63" s="19">
        <f>IF(G63&gt;=Parametros!$B$10,1,0)</f>
        <v/>
      </c>
      <c r="I63" s="22" t="n"/>
      <c r="J63" s="40">
        <f>Parametros!$B$5*N62</f>
        <v/>
      </c>
      <c r="K63" s="40">
        <f>Parametros!$B$7*G63</f>
        <v/>
      </c>
      <c r="L63" s="40">
        <f>(1-Parametros!$B$5)*B63</f>
        <v/>
      </c>
      <c r="M63" s="40">
        <f>-Parametros!$B$9*O62</f>
        <v/>
      </c>
      <c r="N63" s="41">
        <f>J63+K63+L63+M63</f>
        <v/>
      </c>
      <c r="O63" s="19">
        <f>IF(N63&gt;=Parametros!$B$10,1,0)</f>
        <v/>
      </c>
      <c r="P63" s="22" t="n"/>
      <c r="Q63" s="42">
        <f>Parametros!$B$11*H63+(1-Parametros!$B$11)*O63</f>
        <v/>
      </c>
    </row>
    <row r="64" ht="17" customHeight="1">
      <c r="A64" s="36" t="n">
        <v>59</v>
      </c>
      <c r="B64" s="37">
        <f>Datos!$B$62</f>
        <v/>
      </c>
      <c r="C64" s="38">
        <f>Parametros!$B$4*G63</f>
        <v/>
      </c>
      <c r="D64" s="38">
        <f>Parametros!$B$6*N63</f>
        <v/>
      </c>
      <c r="E64" s="38">
        <f>(1-Parametros!$B$4)*B64</f>
        <v/>
      </c>
      <c r="F64" s="38">
        <f>-Parametros!$B$8*H63</f>
        <v/>
      </c>
      <c r="G64" s="39">
        <f>C64+D64+E64+F64</f>
        <v/>
      </c>
      <c r="H64" s="19">
        <f>IF(G64&gt;=Parametros!$B$10,1,0)</f>
        <v/>
      </c>
      <c r="I64" s="22" t="n"/>
      <c r="J64" s="40">
        <f>Parametros!$B$5*N63</f>
        <v/>
      </c>
      <c r="K64" s="40">
        <f>Parametros!$B$7*G64</f>
        <v/>
      </c>
      <c r="L64" s="40">
        <f>(1-Parametros!$B$5)*B64</f>
        <v/>
      </c>
      <c r="M64" s="40">
        <f>-Parametros!$B$9*O63</f>
        <v/>
      </c>
      <c r="N64" s="41">
        <f>J64+K64+L64+M64</f>
        <v/>
      </c>
      <c r="O64" s="19">
        <f>IF(N64&gt;=Parametros!$B$10,1,0)</f>
        <v/>
      </c>
      <c r="P64" s="22" t="n"/>
      <c r="Q64" s="42">
        <f>Parametros!$B$11*H64+(1-Parametros!$B$11)*O64</f>
        <v/>
      </c>
    </row>
    <row r="65" ht="17" customHeight="1">
      <c r="A65" s="36" t="n">
        <v>60</v>
      </c>
      <c r="B65" s="37">
        <f>Datos!$B$63</f>
        <v/>
      </c>
      <c r="C65" s="38">
        <f>Parametros!$B$4*G64</f>
        <v/>
      </c>
      <c r="D65" s="38">
        <f>Parametros!$B$6*N64</f>
        <v/>
      </c>
      <c r="E65" s="38">
        <f>(1-Parametros!$B$4)*B65</f>
        <v/>
      </c>
      <c r="F65" s="38">
        <f>-Parametros!$B$8*H64</f>
        <v/>
      </c>
      <c r="G65" s="39">
        <f>C65+D65+E65+F65</f>
        <v/>
      </c>
      <c r="H65" s="19">
        <f>IF(G65&gt;=Parametros!$B$10,1,0)</f>
        <v/>
      </c>
      <c r="I65" s="22" t="n"/>
      <c r="J65" s="40">
        <f>Parametros!$B$5*N64</f>
        <v/>
      </c>
      <c r="K65" s="40">
        <f>Parametros!$B$7*G65</f>
        <v/>
      </c>
      <c r="L65" s="40">
        <f>(1-Parametros!$B$5)*B65</f>
        <v/>
      </c>
      <c r="M65" s="40">
        <f>-Parametros!$B$9*O64</f>
        <v/>
      </c>
      <c r="N65" s="41">
        <f>J65+K65+L65+M65</f>
        <v/>
      </c>
      <c r="O65" s="19">
        <f>IF(N65&gt;=Parametros!$B$10,1,0)</f>
        <v/>
      </c>
      <c r="P65" s="22" t="n"/>
      <c r="Q65" s="42">
        <f>Parametros!$B$11*H65+(1-Parametros!$B$11)*O65</f>
        <v/>
      </c>
    </row>
    <row r="66" ht="17" customHeight="1">
      <c r="A66" s="36" t="n">
        <v>61</v>
      </c>
      <c r="B66" s="37">
        <f>Datos!$B$64</f>
        <v/>
      </c>
      <c r="C66" s="38">
        <f>Parametros!$B$4*G65</f>
        <v/>
      </c>
      <c r="D66" s="38">
        <f>Parametros!$B$6*N65</f>
        <v/>
      </c>
      <c r="E66" s="38">
        <f>(1-Parametros!$B$4)*B66</f>
        <v/>
      </c>
      <c r="F66" s="38">
        <f>-Parametros!$B$8*H65</f>
        <v/>
      </c>
      <c r="G66" s="39">
        <f>C66+D66+E66+F66</f>
        <v/>
      </c>
      <c r="H66" s="19">
        <f>IF(G66&gt;=Parametros!$B$10,1,0)</f>
        <v/>
      </c>
      <c r="I66" s="22" t="n"/>
      <c r="J66" s="40">
        <f>Parametros!$B$5*N65</f>
        <v/>
      </c>
      <c r="K66" s="40">
        <f>Parametros!$B$7*G66</f>
        <v/>
      </c>
      <c r="L66" s="40">
        <f>(1-Parametros!$B$5)*B66</f>
        <v/>
      </c>
      <c r="M66" s="40">
        <f>-Parametros!$B$9*O65</f>
        <v/>
      </c>
      <c r="N66" s="41">
        <f>J66+K66+L66+M66</f>
        <v/>
      </c>
      <c r="O66" s="19">
        <f>IF(N66&gt;=Parametros!$B$10,1,0)</f>
        <v/>
      </c>
      <c r="P66" s="22" t="n"/>
      <c r="Q66" s="42">
        <f>Parametros!$B$11*H66+(1-Parametros!$B$11)*O66</f>
        <v/>
      </c>
    </row>
    <row r="67" ht="17" customHeight="1">
      <c r="A67" s="36" t="n">
        <v>62</v>
      </c>
      <c r="B67" s="37">
        <f>Datos!$B$65</f>
        <v/>
      </c>
      <c r="C67" s="38">
        <f>Parametros!$B$4*G66</f>
        <v/>
      </c>
      <c r="D67" s="38">
        <f>Parametros!$B$6*N66</f>
        <v/>
      </c>
      <c r="E67" s="38">
        <f>(1-Parametros!$B$4)*B67</f>
        <v/>
      </c>
      <c r="F67" s="38">
        <f>-Parametros!$B$8*H66</f>
        <v/>
      </c>
      <c r="G67" s="39">
        <f>C67+D67+E67+F67</f>
        <v/>
      </c>
      <c r="H67" s="19">
        <f>IF(G67&gt;=Parametros!$B$10,1,0)</f>
        <v/>
      </c>
      <c r="I67" s="22" t="n"/>
      <c r="J67" s="40">
        <f>Parametros!$B$5*N66</f>
        <v/>
      </c>
      <c r="K67" s="40">
        <f>Parametros!$B$7*G67</f>
        <v/>
      </c>
      <c r="L67" s="40">
        <f>(1-Parametros!$B$5)*B67</f>
        <v/>
      </c>
      <c r="M67" s="40">
        <f>-Parametros!$B$9*O66</f>
        <v/>
      </c>
      <c r="N67" s="41">
        <f>J67+K67+L67+M67</f>
        <v/>
      </c>
      <c r="O67" s="19">
        <f>IF(N67&gt;=Parametros!$B$10,1,0)</f>
        <v/>
      </c>
      <c r="P67" s="22" t="n"/>
      <c r="Q67" s="42">
        <f>Parametros!$B$11*H67+(1-Parametros!$B$11)*O67</f>
        <v/>
      </c>
    </row>
    <row r="68" ht="17" customHeight="1">
      <c r="A68" s="36" t="n">
        <v>63</v>
      </c>
      <c r="B68" s="37">
        <f>Datos!$B$66</f>
        <v/>
      </c>
      <c r="C68" s="38">
        <f>Parametros!$B$4*G67</f>
        <v/>
      </c>
      <c r="D68" s="38">
        <f>Parametros!$B$6*N67</f>
        <v/>
      </c>
      <c r="E68" s="38">
        <f>(1-Parametros!$B$4)*B68</f>
        <v/>
      </c>
      <c r="F68" s="38">
        <f>-Parametros!$B$8*H67</f>
        <v/>
      </c>
      <c r="G68" s="39">
        <f>C68+D68+E68+F68</f>
        <v/>
      </c>
      <c r="H68" s="19">
        <f>IF(G68&gt;=Parametros!$B$10,1,0)</f>
        <v/>
      </c>
      <c r="I68" s="22" t="n"/>
      <c r="J68" s="40">
        <f>Parametros!$B$5*N67</f>
        <v/>
      </c>
      <c r="K68" s="40">
        <f>Parametros!$B$7*G68</f>
        <v/>
      </c>
      <c r="L68" s="40">
        <f>(1-Parametros!$B$5)*B68</f>
        <v/>
      </c>
      <c r="M68" s="40">
        <f>-Parametros!$B$9*O67</f>
        <v/>
      </c>
      <c r="N68" s="41">
        <f>J68+K68+L68+M68</f>
        <v/>
      </c>
      <c r="O68" s="19">
        <f>IF(N68&gt;=Parametros!$B$10,1,0)</f>
        <v/>
      </c>
      <c r="P68" s="22" t="n"/>
      <c r="Q68" s="42">
        <f>Parametros!$B$11*H68+(1-Parametros!$B$11)*O68</f>
        <v/>
      </c>
    </row>
    <row r="69" ht="17" customHeight="1">
      <c r="A69" s="36" t="n">
        <v>64</v>
      </c>
      <c r="B69" s="37">
        <f>Datos!$B$67</f>
        <v/>
      </c>
      <c r="C69" s="38">
        <f>Parametros!$B$4*G68</f>
        <v/>
      </c>
      <c r="D69" s="38">
        <f>Parametros!$B$6*N68</f>
        <v/>
      </c>
      <c r="E69" s="38">
        <f>(1-Parametros!$B$4)*B69</f>
        <v/>
      </c>
      <c r="F69" s="38">
        <f>-Parametros!$B$8*H68</f>
        <v/>
      </c>
      <c r="G69" s="39">
        <f>C69+D69+E69+F69</f>
        <v/>
      </c>
      <c r="H69" s="19">
        <f>IF(G69&gt;=Parametros!$B$10,1,0)</f>
        <v/>
      </c>
      <c r="I69" s="22" t="n"/>
      <c r="J69" s="40">
        <f>Parametros!$B$5*N68</f>
        <v/>
      </c>
      <c r="K69" s="40">
        <f>Parametros!$B$7*G69</f>
        <v/>
      </c>
      <c r="L69" s="40">
        <f>(1-Parametros!$B$5)*B69</f>
        <v/>
      </c>
      <c r="M69" s="40">
        <f>-Parametros!$B$9*O68</f>
        <v/>
      </c>
      <c r="N69" s="41">
        <f>J69+K69+L69+M69</f>
        <v/>
      </c>
      <c r="O69" s="19">
        <f>IF(N69&gt;=Parametros!$B$10,1,0)</f>
        <v/>
      </c>
      <c r="P69" s="22" t="n"/>
      <c r="Q69" s="42">
        <f>Parametros!$B$11*H69+(1-Parametros!$B$11)*O69</f>
        <v/>
      </c>
    </row>
    <row r="70" ht="17" customHeight="1">
      <c r="A70" s="36" t="n">
        <v>65</v>
      </c>
      <c r="B70" s="37">
        <f>Datos!$B$68</f>
        <v/>
      </c>
      <c r="C70" s="38">
        <f>Parametros!$B$4*G69</f>
        <v/>
      </c>
      <c r="D70" s="38">
        <f>Parametros!$B$6*N69</f>
        <v/>
      </c>
      <c r="E70" s="38">
        <f>(1-Parametros!$B$4)*B70</f>
        <v/>
      </c>
      <c r="F70" s="38">
        <f>-Parametros!$B$8*H69</f>
        <v/>
      </c>
      <c r="G70" s="39">
        <f>C70+D70+E70+F70</f>
        <v/>
      </c>
      <c r="H70" s="19">
        <f>IF(G70&gt;=Parametros!$B$10,1,0)</f>
        <v/>
      </c>
      <c r="I70" s="22" t="n"/>
      <c r="J70" s="40">
        <f>Parametros!$B$5*N69</f>
        <v/>
      </c>
      <c r="K70" s="40">
        <f>Parametros!$B$7*G70</f>
        <v/>
      </c>
      <c r="L70" s="40">
        <f>(1-Parametros!$B$5)*B70</f>
        <v/>
      </c>
      <c r="M70" s="40">
        <f>-Parametros!$B$9*O69</f>
        <v/>
      </c>
      <c r="N70" s="41">
        <f>J70+K70+L70+M70</f>
        <v/>
      </c>
      <c r="O70" s="19">
        <f>IF(N70&gt;=Parametros!$B$10,1,0)</f>
        <v/>
      </c>
      <c r="P70" s="22" t="n"/>
      <c r="Q70" s="42">
        <f>Parametros!$B$11*H70+(1-Parametros!$B$11)*O70</f>
        <v/>
      </c>
    </row>
    <row r="71" ht="17" customHeight="1">
      <c r="A71" s="36" t="n">
        <v>66</v>
      </c>
      <c r="B71" s="37">
        <f>Datos!$B$69</f>
        <v/>
      </c>
      <c r="C71" s="38">
        <f>Parametros!$B$4*G70</f>
        <v/>
      </c>
      <c r="D71" s="38">
        <f>Parametros!$B$6*N70</f>
        <v/>
      </c>
      <c r="E71" s="38">
        <f>(1-Parametros!$B$4)*B71</f>
        <v/>
      </c>
      <c r="F71" s="38">
        <f>-Parametros!$B$8*H70</f>
        <v/>
      </c>
      <c r="G71" s="39">
        <f>C71+D71+E71+F71</f>
        <v/>
      </c>
      <c r="H71" s="19">
        <f>IF(G71&gt;=Parametros!$B$10,1,0)</f>
        <v/>
      </c>
      <c r="I71" s="22" t="n"/>
      <c r="J71" s="40">
        <f>Parametros!$B$5*N70</f>
        <v/>
      </c>
      <c r="K71" s="40">
        <f>Parametros!$B$7*G71</f>
        <v/>
      </c>
      <c r="L71" s="40">
        <f>(1-Parametros!$B$5)*B71</f>
        <v/>
      </c>
      <c r="M71" s="40">
        <f>-Parametros!$B$9*O70</f>
        <v/>
      </c>
      <c r="N71" s="41">
        <f>J71+K71+L71+M71</f>
        <v/>
      </c>
      <c r="O71" s="19">
        <f>IF(N71&gt;=Parametros!$B$10,1,0)</f>
        <v/>
      </c>
      <c r="P71" s="22" t="n"/>
      <c r="Q71" s="42">
        <f>Parametros!$B$11*H71+(1-Parametros!$B$11)*O71</f>
        <v/>
      </c>
    </row>
    <row r="72" ht="17" customHeight="1">
      <c r="A72" s="36" t="n">
        <v>67</v>
      </c>
      <c r="B72" s="37">
        <f>Datos!$B$70</f>
        <v/>
      </c>
      <c r="C72" s="38">
        <f>Parametros!$B$4*G71</f>
        <v/>
      </c>
      <c r="D72" s="38">
        <f>Parametros!$B$6*N71</f>
        <v/>
      </c>
      <c r="E72" s="38">
        <f>(1-Parametros!$B$4)*B72</f>
        <v/>
      </c>
      <c r="F72" s="38">
        <f>-Parametros!$B$8*H71</f>
        <v/>
      </c>
      <c r="G72" s="39">
        <f>C72+D72+E72+F72</f>
        <v/>
      </c>
      <c r="H72" s="19">
        <f>IF(G72&gt;=Parametros!$B$10,1,0)</f>
        <v/>
      </c>
      <c r="I72" s="22" t="n"/>
      <c r="J72" s="40">
        <f>Parametros!$B$5*N71</f>
        <v/>
      </c>
      <c r="K72" s="40">
        <f>Parametros!$B$7*G72</f>
        <v/>
      </c>
      <c r="L72" s="40">
        <f>(1-Parametros!$B$5)*B72</f>
        <v/>
      </c>
      <c r="M72" s="40">
        <f>-Parametros!$B$9*O71</f>
        <v/>
      </c>
      <c r="N72" s="41">
        <f>J72+K72+L72+M72</f>
        <v/>
      </c>
      <c r="O72" s="19">
        <f>IF(N72&gt;=Parametros!$B$10,1,0)</f>
        <v/>
      </c>
      <c r="P72" s="22" t="n"/>
      <c r="Q72" s="42">
        <f>Parametros!$B$11*H72+(1-Parametros!$B$11)*O72</f>
        <v/>
      </c>
    </row>
    <row r="73" ht="17" customHeight="1">
      <c r="A73" s="36" t="n">
        <v>68</v>
      </c>
      <c r="B73" s="37">
        <f>Datos!$B$71</f>
        <v/>
      </c>
      <c r="C73" s="38">
        <f>Parametros!$B$4*G72</f>
        <v/>
      </c>
      <c r="D73" s="38">
        <f>Parametros!$B$6*N72</f>
        <v/>
      </c>
      <c r="E73" s="38">
        <f>(1-Parametros!$B$4)*B73</f>
        <v/>
      </c>
      <c r="F73" s="38">
        <f>-Parametros!$B$8*H72</f>
        <v/>
      </c>
      <c r="G73" s="39">
        <f>C73+D73+E73+F73</f>
        <v/>
      </c>
      <c r="H73" s="19">
        <f>IF(G73&gt;=Parametros!$B$10,1,0)</f>
        <v/>
      </c>
      <c r="I73" s="22" t="n"/>
      <c r="J73" s="40">
        <f>Parametros!$B$5*N72</f>
        <v/>
      </c>
      <c r="K73" s="40">
        <f>Parametros!$B$7*G73</f>
        <v/>
      </c>
      <c r="L73" s="40">
        <f>(1-Parametros!$B$5)*B73</f>
        <v/>
      </c>
      <c r="M73" s="40">
        <f>-Parametros!$B$9*O72</f>
        <v/>
      </c>
      <c r="N73" s="41">
        <f>J73+K73+L73+M73</f>
        <v/>
      </c>
      <c r="O73" s="19">
        <f>IF(N73&gt;=Parametros!$B$10,1,0)</f>
        <v/>
      </c>
      <c r="P73" s="22" t="n"/>
      <c r="Q73" s="42">
        <f>Parametros!$B$11*H73+(1-Parametros!$B$11)*O73</f>
        <v/>
      </c>
    </row>
    <row r="74" ht="17" customHeight="1">
      <c r="A74" s="36" t="n">
        <v>69</v>
      </c>
      <c r="B74" s="37">
        <f>Datos!$B$72</f>
        <v/>
      </c>
      <c r="C74" s="38">
        <f>Parametros!$B$4*G73</f>
        <v/>
      </c>
      <c r="D74" s="38">
        <f>Parametros!$B$6*N73</f>
        <v/>
      </c>
      <c r="E74" s="38">
        <f>(1-Parametros!$B$4)*B74</f>
        <v/>
      </c>
      <c r="F74" s="38">
        <f>-Parametros!$B$8*H73</f>
        <v/>
      </c>
      <c r="G74" s="39">
        <f>C74+D74+E74+F74</f>
        <v/>
      </c>
      <c r="H74" s="19">
        <f>IF(G74&gt;=Parametros!$B$10,1,0)</f>
        <v/>
      </c>
      <c r="I74" s="22" t="n"/>
      <c r="J74" s="40">
        <f>Parametros!$B$5*N73</f>
        <v/>
      </c>
      <c r="K74" s="40">
        <f>Parametros!$B$7*G74</f>
        <v/>
      </c>
      <c r="L74" s="40">
        <f>(1-Parametros!$B$5)*B74</f>
        <v/>
      </c>
      <c r="M74" s="40">
        <f>-Parametros!$B$9*O73</f>
        <v/>
      </c>
      <c r="N74" s="41">
        <f>J74+K74+L74+M74</f>
        <v/>
      </c>
      <c r="O74" s="19">
        <f>IF(N74&gt;=Parametros!$B$10,1,0)</f>
        <v/>
      </c>
      <c r="P74" s="22" t="n"/>
      <c r="Q74" s="42">
        <f>Parametros!$B$11*H74+(1-Parametros!$B$11)*O74</f>
        <v/>
      </c>
    </row>
    <row r="75" ht="17" customHeight="1">
      <c r="A75" s="36" t="n">
        <v>70</v>
      </c>
      <c r="B75" s="37">
        <f>Datos!$B$73</f>
        <v/>
      </c>
      <c r="C75" s="38">
        <f>Parametros!$B$4*G74</f>
        <v/>
      </c>
      <c r="D75" s="38">
        <f>Parametros!$B$6*N74</f>
        <v/>
      </c>
      <c r="E75" s="38">
        <f>(1-Parametros!$B$4)*B75</f>
        <v/>
      </c>
      <c r="F75" s="38">
        <f>-Parametros!$B$8*H74</f>
        <v/>
      </c>
      <c r="G75" s="39">
        <f>C75+D75+E75+F75</f>
        <v/>
      </c>
      <c r="H75" s="19">
        <f>IF(G75&gt;=Parametros!$B$10,1,0)</f>
        <v/>
      </c>
      <c r="I75" s="22" t="n"/>
      <c r="J75" s="40">
        <f>Parametros!$B$5*N74</f>
        <v/>
      </c>
      <c r="K75" s="40">
        <f>Parametros!$B$7*G75</f>
        <v/>
      </c>
      <c r="L75" s="40">
        <f>(1-Parametros!$B$5)*B75</f>
        <v/>
      </c>
      <c r="M75" s="40">
        <f>-Parametros!$B$9*O74</f>
        <v/>
      </c>
      <c r="N75" s="41">
        <f>J75+K75+L75+M75</f>
        <v/>
      </c>
      <c r="O75" s="19">
        <f>IF(N75&gt;=Parametros!$B$10,1,0)</f>
        <v/>
      </c>
      <c r="P75" s="22" t="n"/>
      <c r="Q75" s="42">
        <f>Parametros!$B$11*H75+(1-Parametros!$B$11)*O75</f>
        <v/>
      </c>
    </row>
    <row r="76" ht="17" customHeight="1">
      <c r="A76" s="36" t="n">
        <v>71</v>
      </c>
      <c r="B76" s="37">
        <f>Datos!$B$74</f>
        <v/>
      </c>
      <c r="C76" s="38">
        <f>Parametros!$B$4*G75</f>
        <v/>
      </c>
      <c r="D76" s="38">
        <f>Parametros!$B$6*N75</f>
        <v/>
      </c>
      <c r="E76" s="38">
        <f>(1-Parametros!$B$4)*B76</f>
        <v/>
      </c>
      <c r="F76" s="38">
        <f>-Parametros!$B$8*H75</f>
        <v/>
      </c>
      <c r="G76" s="39">
        <f>C76+D76+E76+F76</f>
        <v/>
      </c>
      <c r="H76" s="19">
        <f>IF(G76&gt;=Parametros!$B$10,1,0)</f>
        <v/>
      </c>
      <c r="I76" s="22" t="n"/>
      <c r="J76" s="40">
        <f>Parametros!$B$5*N75</f>
        <v/>
      </c>
      <c r="K76" s="40">
        <f>Parametros!$B$7*G76</f>
        <v/>
      </c>
      <c r="L76" s="40">
        <f>(1-Parametros!$B$5)*B76</f>
        <v/>
      </c>
      <c r="M76" s="40">
        <f>-Parametros!$B$9*O75</f>
        <v/>
      </c>
      <c r="N76" s="41">
        <f>J76+K76+L76+M76</f>
        <v/>
      </c>
      <c r="O76" s="19">
        <f>IF(N76&gt;=Parametros!$B$10,1,0)</f>
        <v/>
      </c>
      <c r="P76" s="22" t="n"/>
      <c r="Q76" s="42">
        <f>Parametros!$B$11*H76+(1-Parametros!$B$11)*O76</f>
        <v/>
      </c>
    </row>
    <row r="77" ht="17" customHeight="1">
      <c r="A77" s="36" t="n">
        <v>72</v>
      </c>
      <c r="B77" s="37">
        <f>Datos!$B$75</f>
        <v/>
      </c>
      <c r="C77" s="38">
        <f>Parametros!$B$4*G76</f>
        <v/>
      </c>
      <c r="D77" s="38">
        <f>Parametros!$B$6*N76</f>
        <v/>
      </c>
      <c r="E77" s="38">
        <f>(1-Parametros!$B$4)*B77</f>
        <v/>
      </c>
      <c r="F77" s="38">
        <f>-Parametros!$B$8*H76</f>
        <v/>
      </c>
      <c r="G77" s="39">
        <f>C77+D77+E77+F77</f>
        <v/>
      </c>
      <c r="H77" s="19">
        <f>IF(G77&gt;=Parametros!$B$10,1,0)</f>
        <v/>
      </c>
      <c r="I77" s="22" t="n"/>
      <c r="J77" s="40">
        <f>Parametros!$B$5*N76</f>
        <v/>
      </c>
      <c r="K77" s="40">
        <f>Parametros!$B$7*G77</f>
        <v/>
      </c>
      <c r="L77" s="40">
        <f>(1-Parametros!$B$5)*B77</f>
        <v/>
      </c>
      <c r="M77" s="40">
        <f>-Parametros!$B$9*O76</f>
        <v/>
      </c>
      <c r="N77" s="41">
        <f>J77+K77+L77+M77</f>
        <v/>
      </c>
      <c r="O77" s="19">
        <f>IF(N77&gt;=Parametros!$B$10,1,0)</f>
        <v/>
      </c>
      <c r="P77" s="22" t="n"/>
      <c r="Q77" s="42">
        <f>Parametros!$B$11*H77+(1-Parametros!$B$11)*O77</f>
        <v/>
      </c>
    </row>
    <row r="78" ht="17" customHeight="1">
      <c r="A78" s="36" t="n">
        <v>73</v>
      </c>
      <c r="B78" s="37">
        <f>Datos!$B$76</f>
        <v/>
      </c>
      <c r="C78" s="38">
        <f>Parametros!$B$4*G77</f>
        <v/>
      </c>
      <c r="D78" s="38">
        <f>Parametros!$B$6*N77</f>
        <v/>
      </c>
      <c r="E78" s="38">
        <f>(1-Parametros!$B$4)*B78</f>
        <v/>
      </c>
      <c r="F78" s="38">
        <f>-Parametros!$B$8*H77</f>
        <v/>
      </c>
      <c r="G78" s="39">
        <f>C78+D78+E78+F78</f>
        <v/>
      </c>
      <c r="H78" s="19">
        <f>IF(G78&gt;=Parametros!$B$10,1,0)</f>
        <v/>
      </c>
      <c r="I78" s="22" t="n"/>
      <c r="J78" s="40">
        <f>Parametros!$B$5*N77</f>
        <v/>
      </c>
      <c r="K78" s="40">
        <f>Parametros!$B$7*G78</f>
        <v/>
      </c>
      <c r="L78" s="40">
        <f>(1-Parametros!$B$5)*B78</f>
        <v/>
      </c>
      <c r="M78" s="40">
        <f>-Parametros!$B$9*O77</f>
        <v/>
      </c>
      <c r="N78" s="41">
        <f>J78+K78+L78+M78</f>
        <v/>
      </c>
      <c r="O78" s="19">
        <f>IF(N78&gt;=Parametros!$B$10,1,0)</f>
        <v/>
      </c>
      <c r="P78" s="22" t="n"/>
      <c r="Q78" s="42">
        <f>Parametros!$B$11*H78+(1-Parametros!$B$11)*O78</f>
        <v/>
      </c>
    </row>
    <row r="79" ht="17" customHeight="1">
      <c r="A79" s="36" t="n">
        <v>74</v>
      </c>
      <c r="B79" s="37">
        <f>Datos!$B$77</f>
        <v/>
      </c>
      <c r="C79" s="38">
        <f>Parametros!$B$4*G78</f>
        <v/>
      </c>
      <c r="D79" s="38">
        <f>Parametros!$B$6*N78</f>
        <v/>
      </c>
      <c r="E79" s="38">
        <f>(1-Parametros!$B$4)*B79</f>
        <v/>
      </c>
      <c r="F79" s="38">
        <f>-Parametros!$B$8*H78</f>
        <v/>
      </c>
      <c r="G79" s="39">
        <f>C79+D79+E79+F79</f>
        <v/>
      </c>
      <c r="H79" s="19">
        <f>IF(G79&gt;=Parametros!$B$10,1,0)</f>
        <v/>
      </c>
      <c r="I79" s="22" t="n"/>
      <c r="J79" s="40">
        <f>Parametros!$B$5*N78</f>
        <v/>
      </c>
      <c r="K79" s="40">
        <f>Parametros!$B$7*G79</f>
        <v/>
      </c>
      <c r="L79" s="40">
        <f>(1-Parametros!$B$5)*B79</f>
        <v/>
      </c>
      <c r="M79" s="40">
        <f>-Parametros!$B$9*O78</f>
        <v/>
      </c>
      <c r="N79" s="41">
        <f>J79+K79+L79+M79</f>
        <v/>
      </c>
      <c r="O79" s="19">
        <f>IF(N79&gt;=Parametros!$B$10,1,0)</f>
        <v/>
      </c>
      <c r="P79" s="22" t="n"/>
      <c r="Q79" s="42">
        <f>Parametros!$B$11*H79+(1-Parametros!$B$11)*O79</f>
        <v/>
      </c>
    </row>
    <row r="80" ht="17" customHeight="1">
      <c r="A80" s="36" t="n">
        <v>75</v>
      </c>
      <c r="B80" s="37">
        <f>Datos!$B$78</f>
        <v/>
      </c>
      <c r="C80" s="38">
        <f>Parametros!$B$4*G79</f>
        <v/>
      </c>
      <c r="D80" s="38">
        <f>Parametros!$B$6*N79</f>
        <v/>
      </c>
      <c r="E80" s="38">
        <f>(1-Parametros!$B$4)*B80</f>
        <v/>
      </c>
      <c r="F80" s="38">
        <f>-Parametros!$B$8*H79</f>
        <v/>
      </c>
      <c r="G80" s="39">
        <f>C80+D80+E80+F80</f>
        <v/>
      </c>
      <c r="H80" s="19">
        <f>IF(G80&gt;=Parametros!$B$10,1,0)</f>
        <v/>
      </c>
      <c r="I80" s="22" t="n"/>
      <c r="J80" s="40">
        <f>Parametros!$B$5*N79</f>
        <v/>
      </c>
      <c r="K80" s="40">
        <f>Parametros!$B$7*G80</f>
        <v/>
      </c>
      <c r="L80" s="40">
        <f>(1-Parametros!$B$5)*B80</f>
        <v/>
      </c>
      <c r="M80" s="40">
        <f>-Parametros!$B$9*O79</f>
        <v/>
      </c>
      <c r="N80" s="41">
        <f>J80+K80+L80+M80</f>
        <v/>
      </c>
      <c r="O80" s="19">
        <f>IF(N80&gt;=Parametros!$B$10,1,0)</f>
        <v/>
      </c>
      <c r="P80" s="22" t="n"/>
      <c r="Q80" s="42">
        <f>Parametros!$B$11*H80+(1-Parametros!$B$11)*O80</f>
        <v/>
      </c>
    </row>
    <row r="81" ht="17" customHeight="1">
      <c r="A81" s="36" t="n">
        <v>76</v>
      </c>
      <c r="B81" s="37">
        <f>Datos!$B$79</f>
        <v/>
      </c>
      <c r="C81" s="38">
        <f>Parametros!$B$4*G80</f>
        <v/>
      </c>
      <c r="D81" s="38">
        <f>Parametros!$B$6*N80</f>
        <v/>
      </c>
      <c r="E81" s="38">
        <f>(1-Parametros!$B$4)*B81</f>
        <v/>
      </c>
      <c r="F81" s="38">
        <f>-Parametros!$B$8*H80</f>
        <v/>
      </c>
      <c r="G81" s="39">
        <f>C81+D81+E81+F81</f>
        <v/>
      </c>
      <c r="H81" s="19">
        <f>IF(G81&gt;=Parametros!$B$10,1,0)</f>
        <v/>
      </c>
      <c r="I81" s="22" t="n"/>
      <c r="J81" s="40">
        <f>Parametros!$B$5*N80</f>
        <v/>
      </c>
      <c r="K81" s="40">
        <f>Parametros!$B$7*G81</f>
        <v/>
      </c>
      <c r="L81" s="40">
        <f>(1-Parametros!$B$5)*B81</f>
        <v/>
      </c>
      <c r="M81" s="40">
        <f>-Parametros!$B$9*O80</f>
        <v/>
      </c>
      <c r="N81" s="41">
        <f>J81+K81+L81+M81</f>
        <v/>
      </c>
      <c r="O81" s="19">
        <f>IF(N81&gt;=Parametros!$B$10,1,0)</f>
        <v/>
      </c>
      <c r="P81" s="22" t="n"/>
      <c r="Q81" s="42">
        <f>Parametros!$B$11*H81+(1-Parametros!$B$11)*O81</f>
        <v/>
      </c>
    </row>
    <row r="82" ht="17" customHeight="1">
      <c r="A82" s="36" t="n">
        <v>77</v>
      </c>
      <c r="B82" s="37">
        <f>Datos!$B$80</f>
        <v/>
      </c>
      <c r="C82" s="38">
        <f>Parametros!$B$4*G81</f>
        <v/>
      </c>
      <c r="D82" s="38">
        <f>Parametros!$B$6*N81</f>
        <v/>
      </c>
      <c r="E82" s="38">
        <f>(1-Parametros!$B$4)*B82</f>
        <v/>
      </c>
      <c r="F82" s="38">
        <f>-Parametros!$B$8*H81</f>
        <v/>
      </c>
      <c r="G82" s="39">
        <f>C82+D82+E82+F82</f>
        <v/>
      </c>
      <c r="H82" s="19">
        <f>IF(G82&gt;=Parametros!$B$10,1,0)</f>
        <v/>
      </c>
      <c r="I82" s="22" t="n"/>
      <c r="J82" s="40">
        <f>Parametros!$B$5*N81</f>
        <v/>
      </c>
      <c r="K82" s="40">
        <f>Parametros!$B$7*G82</f>
        <v/>
      </c>
      <c r="L82" s="40">
        <f>(1-Parametros!$B$5)*B82</f>
        <v/>
      </c>
      <c r="M82" s="40">
        <f>-Parametros!$B$9*O81</f>
        <v/>
      </c>
      <c r="N82" s="41">
        <f>J82+K82+L82+M82</f>
        <v/>
      </c>
      <c r="O82" s="19">
        <f>IF(N82&gt;=Parametros!$B$10,1,0)</f>
        <v/>
      </c>
      <c r="P82" s="22" t="n"/>
      <c r="Q82" s="42">
        <f>Parametros!$B$11*H82+(1-Parametros!$B$11)*O82</f>
        <v/>
      </c>
    </row>
    <row r="83" ht="17" customHeight="1">
      <c r="A83" s="36" t="n">
        <v>78</v>
      </c>
      <c r="B83" s="37">
        <f>Datos!$B$81</f>
        <v/>
      </c>
      <c r="C83" s="38">
        <f>Parametros!$B$4*G82</f>
        <v/>
      </c>
      <c r="D83" s="38">
        <f>Parametros!$B$6*N82</f>
        <v/>
      </c>
      <c r="E83" s="38">
        <f>(1-Parametros!$B$4)*B83</f>
        <v/>
      </c>
      <c r="F83" s="38">
        <f>-Parametros!$B$8*H82</f>
        <v/>
      </c>
      <c r="G83" s="39">
        <f>C83+D83+E83+F83</f>
        <v/>
      </c>
      <c r="H83" s="19">
        <f>IF(G83&gt;=Parametros!$B$10,1,0)</f>
        <v/>
      </c>
      <c r="I83" s="22" t="n"/>
      <c r="J83" s="40">
        <f>Parametros!$B$5*N82</f>
        <v/>
      </c>
      <c r="K83" s="40">
        <f>Parametros!$B$7*G83</f>
        <v/>
      </c>
      <c r="L83" s="40">
        <f>(1-Parametros!$B$5)*B83</f>
        <v/>
      </c>
      <c r="M83" s="40">
        <f>-Parametros!$B$9*O82</f>
        <v/>
      </c>
      <c r="N83" s="41">
        <f>J83+K83+L83+M83</f>
        <v/>
      </c>
      <c r="O83" s="19">
        <f>IF(N83&gt;=Parametros!$B$10,1,0)</f>
        <v/>
      </c>
      <c r="P83" s="22" t="n"/>
      <c r="Q83" s="42">
        <f>Parametros!$B$11*H83+(1-Parametros!$B$11)*O83</f>
        <v/>
      </c>
    </row>
    <row r="84" ht="17" customHeight="1">
      <c r="A84" s="36" t="n">
        <v>79</v>
      </c>
      <c r="B84" s="37">
        <f>Datos!$B$82</f>
        <v/>
      </c>
      <c r="C84" s="38">
        <f>Parametros!$B$4*G83</f>
        <v/>
      </c>
      <c r="D84" s="38">
        <f>Parametros!$B$6*N83</f>
        <v/>
      </c>
      <c r="E84" s="38">
        <f>(1-Parametros!$B$4)*B84</f>
        <v/>
      </c>
      <c r="F84" s="38">
        <f>-Parametros!$B$8*H83</f>
        <v/>
      </c>
      <c r="G84" s="39">
        <f>C84+D84+E84+F84</f>
        <v/>
      </c>
      <c r="H84" s="19">
        <f>IF(G84&gt;=Parametros!$B$10,1,0)</f>
        <v/>
      </c>
      <c r="I84" s="22" t="n"/>
      <c r="J84" s="40">
        <f>Parametros!$B$5*N83</f>
        <v/>
      </c>
      <c r="K84" s="40">
        <f>Parametros!$B$7*G84</f>
        <v/>
      </c>
      <c r="L84" s="40">
        <f>(1-Parametros!$B$5)*B84</f>
        <v/>
      </c>
      <c r="M84" s="40">
        <f>-Parametros!$B$9*O83</f>
        <v/>
      </c>
      <c r="N84" s="41">
        <f>J84+K84+L84+M84</f>
        <v/>
      </c>
      <c r="O84" s="19">
        <f>IF(N84&gt;=Parametros!$B$10,1,0)</f>
        <v/>
      </c>
      <c r="P84" s="22" t="n"/>
      <c r="Q84" s="42">
        <f>Parametros!$B$11*H84+(1-Parametros!$B$11)*O84</f>
        <v/>
      </c>
    </row>
    <row r="85" ht="17" customHeight="1">
      <c r="A85" s="36" t="n">
        <v>80</v>
      </c>
      <c r="B85" s="37">
        <f>Datos!$B$83</f>
        <v/>
      </c>
      <c r="C85" s="38">
        <f>Parametros!$B$4*G84</f>
        <v/>
      </c>
      <c r="D85" s="38">
        <f>Parametros!$B$6*N84</f>
        <v/>
      </c>
      <c r="E85" s="38">
        <f>(1-Parametros!$B$4)*B85</f>
        <v/>
      </c>
      <c r="F85" s="38">
        <f>-Parametros!$B$8*H84</f>
        <v/>
      </c>
      <c r="G85" s="39">
        <f>C85+D85+E85+F85</f>
        <v/>
      </c>
      <c r="H85" s="19">
        <f>IF(G85&gt;=Parametros!$B$10,1,0)</f>
        <v/>
      </c>
      <c r="I85" s="22" t="n"/>
      <c r="J85" s="40">
        <f>Parametros!$B$5*N84</f>
        <v/>
      </c>
      <c r="K85" s="40">
        <f>Parametros!$B$7*G85</f>
        <v/>
      </c>
      <c r="L85" s="40">
        <f>(1-Parametros!$B$5)*B85</f>
        <v/>
      </c>
      <c r="M85" s="40">
        <f>-Parametros!$B$9*O84</f>
        <v/>
      </c>
      <c r="N85" s="41">
        <f>J85+K85+L85+M85</f>
        <v/>
      </c>
      <c r="O85" s="19">
        <f>IF(N85&gt;=Parametros!$B$10,1,0)</f>
        <v/>
      </c>
      <c r="P85" s="22" t="n"/>
      <c r="Q85" s="42">
        <f>Parametros!$B$11*H85+(1-Parametros!$B$11)*O85</f>
        <v/>
      </c>
    </row>
    <row r="86" ht="17" customHeight="1">
      <c r="A86" s="36" t="n">
        <v>81</v>
      </c>
      <c r="B86" s="37">
        <f>Datos!$B$84</f>
        <v/>
      </c>
      <c r="C86" s="38">
        <f>Parametros!$B$4*G85</f>
        <v/>
      </c>
      <c r="D86" s="38">
        <f>Parametros!$B$6*N85</f>
        <v/>
      </c>
      <c r="E86" s="38">
        <f>(1-Parametros!$B$4)*B86</f>
        <v/>
      </c>
      <c r="F86" s="38">
        <f>-Parametros!$B$8*H85</f>
        <v/>
      </c>
      <c r="G86" s="39">
        <f>C86+D86+E86+F86</f>
        <v/>
      </c>
      <c r="H86" s="19">
        <f>IF(G86&gt;=Parametros!$B$10,1,0)</f>
        <v/>
      </c>
      <c r="I86" s="22" t="n"/>
      <c r="J86" s="40">
        <f>Parametros!$B$5*N85</f>
        <v/>
      </c>
      <c r="K86" s="40">
        <f>Parametros!$B$7*G86</f>
        <v/>
      </c>
      <c r="L86" s="40">
        <f>(1-Parametros!$B$5)*B86</f>
        <v/>
      </c>
      <c r="M86" s="40">
        <f>-Parametros!$B$9*O85</f>
        <v/>
      </c>
      <c r="N86" s="41">
        <f>J86+K86+L86+M86</f>
        <v/>
      </c>
      <c r="O86" s="19">
        <f>IF(N86&gt;=Parametros!$B$10,1,0)</f>
        <v/>
      </c>
      <c r="P86" s="22" t="n"/>
      <c r="Q86" s="42">
        <f>Parametros!$B$11*H86+(1-Parametros!$B$11)*O86</f>
        <v/>
      </c>
    </row>
    <row r="87" ht="17" customHeight="1">
      <c r="A87" s="36" t="n">
        <v>82</v>
      </c>
      <c r="B87" s="37">
        <f>Datos!$B$85</f>
        <v/>
      </c>
      <c r="C87" s="38">
        <f>Parametros!$B$4*G86</f>
        <v/>
      </c>
      <c r="D87" s="38">
        <f>Parametros!$B$6*N86</f>
        <v/>
      </c>
      <c r="E87" s="38">
        <f>(1-Parametros!$B$4)*B87</f>
        <v/>
      </c>
      <c r="F87" s="38">
        <f>-Parametros!$B$8*H86</f>
        <v/>
      </c>
      <c r="G87" s="39">
        <f>C87+D87+E87+F87</f>
        <v/>
      </c>
      <c r="H87" s="19">
        <f>IF(G87&gt;=Parametros!$B$10,1,0)</f>
        <v/>
      </c>
      <c r="I87" s="22" t="n"/>
      <c r="J87" s="40">
        <f>Parametros!$B$5*N86</f>
        <v/>
      </c>
      <c r="K87" s="40">
        <f>Parametros!$B$7*G87</f>
        <v/>
      </c>
      <c r="L87" s="40">
        <f>(1-Parametros!$B$5)*B87</f>
        <v/>
      </c>
      <c r="M87" s="40">
        <f>-Parametros!$B$9*O86</f>
        <v/>
      </c>
      <c r="N87" s="41">
        <f>J87+K87+L87+M87</f>
        <v/>
      </c>
      <c r="O87" s="19">
        <f>IF(N87&gt;=Parametros!$B$10,1,0)</f>
        <v/>
      </c>
      <c r="P87" s="22" t="n"/>
      <c r="Q87" s="42">
        <f>Parametros!$B$11*H87+(1-Parametros!$B$11)*O87</f>
        <v/>
      </c>
    </row>
    <row r="88" ht="17" customHeight="1">
      <c r="A88" s="36" t="n">
        <v>83</v>
      </c>
      <c r="B88" s="37">
        <f>Datos!$B$86</f>
        <v/>
      </c>
      <c r="C88" s="38">
        <f>Parametros!$B$4*G87</f>
        <v/>
      </c>
      <c r="D88" s="38">
        <f>Parametros!$B$6*N87</f>
        <v/>
      </c>
      <c r="E88" s="38">
        <f>(1-Parametros!$B$4)*B88</f>
        <v/>
      </c>
      <c r="F88" s="38">
        <f>-Parametros!$B$8*H87</f>
        <v/>
      </c>
      <c r="G88" s="39">
        <f>C88+D88+E88+F88</f>
        <v/>
      </c>
      <c r="H88" s="19">
        <f>IF(G88&gt;=Parametros!$B$10,1,0)</f>
        <v/>
      </c>
      <c r="I88" s="22" t="n"/>
      <c r="J88" s="40">
        <f>Parametros!$B$5*N87</f>
        <v/>
      </c>
      <c r="K88" s="40">
        <f>Parametros!$B$7*G88</f>
        <v/>
      </c>
      <c r="L88" s="40">
        <f>(1-Parametros!$B$5)*B88</f>
        <v/>
      </c>
      <c r="M88" s="40">
        <f>-Parametros!$B$9*O87</f>
        <v/>
      </c>
      <c r="N88" s="41">
        <f>J88+K88+L88+M88</f>
        <v/>
      </c>
      <c r="O88" s="19">
        <f>IF(N88&gt;=Parametros!$B$10,1,0)</f>
        <v/>
      </c>
      <c r="P88" s="22" t="n"/>
      <c r="Q88" s="42">
        <f>Parametros!$B$11*H88+(1-Parametros!$B$11)*O88</f>
        <v/>
      </c>
    </row>
    <row r="89" ht="17" customHeight="1">
      <c r="A89" s="36" t="n">
        <v>84</v>
      </c>
      <c r="B89" s="37">
        <f>Datos!$B$87</f>
        <v/>
      </c>
      <c r="C89" s="38">
        <f>Parametros!$B$4*G88</f>
        <v/>
      </c>
      <c r="D89" s="38">
        <f>Parametros!$B$6*N88</f>
        <v/>
      </c>
      <c r="E89" s="38">
        <f>(1-Parametros!$B$4)*B89</f>
        <v/>
      </c>
      <c r="F89" s="38">
        <f>-Parametros!$B$8*H88</f>
        <v/>
      </c>
      <c r="G89" s="39">
        <f>C89+D89+E89+F89</f>
        <v/>
      </c>
      <c r="H89" s="19">
        <f>IF(G89&gt;=Parametros!$B$10,1,0)</f>
        <v/>
      </c>
      <c r="I89" s="22" t="n"/>
      <c r="J89" s="40">
        <f>Parametros!$B$5*N88</f>
        <v/>
      </c>
      <c r="K89" s="40">
        <f>Parametros!$B$7*G89</f>
        <v/>
      </c>
      <c r="L89" s="40">
        <f>(1-Parametros!$B$5)*B89</f>
        <v/>
      </c>
      <c r="M89" s="40">
        <f>-Parametros!$B$9*O88</f>
        <v/>
      </c>
      <c r="N89" s="41">
        <f>J89+K89+L89+M89</f>
        <v/>
      </c>
      <c r="O89" s="19">
        <f>IF(N89&gt;=Parametros!$B$10,1,0)</f>
        <v/>
      </c>
      <c r="P89" s="22" t="n"/>
      <c r="Q89" s="42">
        <f>Parametros!$B$11*H89+(1-Parametros!$B$11)*O89</f>
        <v/>
      </c>
    </row>
    <row r="90" ht="17" customHeight="1">
      <c r="A90" s="36" t="n">
        <v>85</v>
      </c>
      <c r="B90" s="37">
        <f>Datos!$B$88</f>
        <v/>
      </c>
      <c r="C90" s="38">
        <f>Parametros!$B$4*G89</f>
        <v/>
      </c>
      <c r="D90" s="38">
        <f>Parametros!$B$6*N89</f>
        <v/>
      </c>
      <c r="E90" s="38">
        <f>(1-Parametros!$B$4)*B90</f>
        <v/>
      </c>
      <c r="F90" s="38">
        <f>-Parametros!$B$8*H89</f>
        <v/>
      </c>
      <c r="G90" s="39">
        <f>C90+D90+E90+F90</f>
        <v/>
      </c>
      <c r="H90" s="19">
        <f>IF(G90&gt;=Parametros!$B$10,1,0)</f>
        <v/>
      </c>
      <c r="I90" s="22" t="n"/>
      <c r="J90" s="40">
        <f>Parametros!$B$5*N89</f>
        <v/>
      </c>
      <c r="K90" s="40">
        <f>Parametros!$B$7*G90</f>
        <v/>
      </c>
      <c r="L90" s="40">
        <f>(1-Parametros!$B$5)*B90</f>
        <v/>
      </c>
      <c r="M90" s="40">
        <f>-Parametros!$B$9*O89</f>
        <v/>
      </c>
      <c r="N90" s="41">
        <f>J90+K90+L90+M90</f>
        <v/>
      </c>
      <c r="O90" s="19">
        <f>IF(N90&gt;=Parametros!$B$10,1,0)</f>
        <v/>
      </c>
      <c r="P90" s="22" t="n"/>
      <c r="Q90" s="42">
        <f>Parametros!$B$11*H90+(1-Parametros!$B$11)*O90</f>
        <v/>
      </c>
    </row>
    <row r="91" ht="17" customHeight="1">
      <c r="A91" s="36" t="n">
        <v>86</v>
      </c>
      <c r="B91" s="37">
        <f>Datos!$B$89</f>
        <v/>
      </c>
      <c r="C91" s="38">
        <f>Parametros!$B$4*G90</f>
        <v/>
      </c>
      <c r="D91" s="38">
        <f>Parametros!$B$6*N90</f>
        <v/>
      </c>
      <c r="E91" s="38">
        <f>(1-Parametros!$B$4)*B91</f>
        <v/>
      </c>
      <c r="F91" s="38">
        <f>-Parametros!$B$8*H90</f>
        <v/>
      </c>
      <c r="G91" s="39">
        <f>C91+D91+E91+F91</f>
        <v/>
      </c>
      <c r="H91" s="19">
        <f>IF(G91&gt;=Parametros!$B$10,1,0)</f>
        <v/>
      </c>
      <c r="I91" s="22" t="n"/>
      <c r="J91" s="40">
        <f>Parametros!$B$5*N90</f>
        <v/>
      </c>
      <c r="K91" s="40">
        <f>Parametros!$B$7*G91</f>
        <v/>
      </c>
      <c r="L91" s="40">
        <f>(1-Parametros!$B$5)*B91</f>
        <v/>
      </c>
      <c r="M91" s="40">
        <f>-Parametros!$B$9*O90</f>
        <v/>
      </c>
      <c r="N91" s="41">
        <f>J91+K91+L91+M91</f>
        <v/>
      </c>
      <c r="O91" s="19">
        <f>IF(N91&gt;=Parametros!$B$10,1,0)</f>
        <v/>
      </c>
      <c r="P91" s="22" t="n"/>
      <c r="Q91" s="42">
        <f>Parametros!$B$11*H91+(1-Parametros!$B$11)*O91</f>
        <v/>
      </c>
    </row>
    <row r="92" ht="17" customHeight="1">
      <c r="A92" s="36" t="n">
        <v>87</v>
      </c>
      <c r="B92" s="37">
        <f>Datos!$B$90</f>
        <v/>
      </c>
      <c r="C92" s="38">
        <f>Parametros!$B$4*G91</f>
        <v/>
      </c>
      <c r="D92" s="38">
        <f>Parametros!$B$6*N91</f>
        <v/>
      </c>
      <c r="E92" s="38">
        <f>(1-Parametros!$B$4)*B92</f>
        <v/>
      </c>
      <c r="F92" s="38">
        <f>-Parametros!$B$8*H91</f>
        <v/>
      </c>
      <c r="G92" s="39">
        <f>C92+D92+E92+F92</f>
        <v/>
      </c>
      <c r="H92" s="19">
        <f>IF(G92&gt;=Parametros!$B$10,1,0)</f>
        <v/>
      </c>
      <c r="I92" s="22" t="n"/>
      <c r="J92" s="40">
        <f>Parametros!$B$5*N91</f>
        <v/>
      </c>
      <c r="K92" s="40">
        <f>Parametros!$B$7*G92</f>
        <v/>
      </c>
      <c r="L92" s="40">
        <f>(1-Parametros!$B$5)*B92</f>
        <v/>
      </c>
      <c r="M92" s="40">
        <f>-Parametros!$B$9*O91</f>
        <v/>
      </c>
      <c r="N92" s="41">
        <f>J92+K92+L92+M92</f>
        <v/>
      </c>
      <c r="O92" s="19">
        <f>IF(N92&gt;=Parametros!$B$10,1,0)</f>
        <v/>
      </c>
      <c r="P92" s="22" t="n"/>
      <c r="Q92" s="42">
        <f>Parametros!$B$11*H92+(1-Parametros!$B$11)*O92</f>
        <v/>
      </c>
    </row>
    <row r="93" ht="17" customHeight="1">
      <c r="A93" s="36" t="n">
        <v>88</v>
      </c>
      <c r="B93" s="37">
        <f>Datos!$B$91</f>
        <v/>
      </c>
      <c r="C93" s="38">
        <f>Parametros!$B$4*G92</f>
        <v/>
      </c>
      <c r="D93" s="38">
        <f>Parametros!$B$6*N92</f>
        <v/>
      </c>
      <c r="E93" s="38">
        <f>(1-Parametros!$B$4)*B93</f>
        <v/>
      </c>
      <c r="F93" s="38">
        <f>-Parametros!$B$8*H92</f>
        <v/>
      </c>
      <c r="G93" s="39">
        <f>C93+D93+E93+F93</f>
        <v/>
      </c>
      <c r="H93" s="19">
        <f>IF(G93&gt;=Parametros!$B$10,1,0)</f>
        <v/>
      </c>
      <c r="I93" s="22" t="n"/>
      <c r="J93" s="40">
        <f>Parametros!$B$5*N92</f>
        <v/>
      </c>
      <c r="K93" s="40">
        <f>Parametros!$B$7*G93</f>
        <v/>
      </c>
      <c r="L93" s="40">
        <f>(1-Parametros!$B$5)*B93</f>
        <v/>
      </c>
      <c r="M93" s="40">
        <f>-Parametros!$B$9*O92</f>
        <v/>
      </c>
      <c r="N93" s="41">
        <f>J93+K93+L93+M93</f>
        <v/>
      </c>
      <c r="O93" s="19">
        <f>IF(N93&gt;=Parametros!$B$10,1,0)</f>
        <v/>
      </c>
      <c r="P93" s="22" t="n"/>
      <c r="Q93" s="42">
        <f>Parametros!$B$11*H93+(1-Parametros!$B$11)*O93</f>
        <v/>
      </c>
    </row>
    <row r="94" ht="17" customHeight="1">
      <c r="A94" s="36" t="n">
        <v>89</v>
      </c>
      <c r="B94" s="37">
        <f>Datos!$B$92</f>
        <v/>
      </c>
      <c r="C94" s="38">
        <f>Parametros!$B$4*G93</f>
        <v/>
      </c>
      <c r="D94" s="38">
        <f>Parametros!$B$6*N93</f>
        <v/>
      </c>
      <c r="E94" s="38">
        <f>(1-Parametros!$B$4)*B94</f>
        <v/>
      </c>
      <c r="F94" s="38">
        <f>-Parametros!$B$8*H93</f>
        <v/>
      </c>
      <c r="G94" s="39">
        <f>C94+D94+E94+F94</f>
        <v/>
      </c>
      <c r="H94" s="19">
        <f>IF(G94&gt;=Parametros!$B$10,1,0)</f>
        <v/>
      </c>
      <c r="I94" s="22" t="n"/>
      <c r="J94" s="40">
        <f>Parametros!$B$5*N93</f>
        <v/>
      </c>
      <c r="K94" s="40">
        <f>Parametros!$B$7*G94</f>
        <v/>
      </c>
      <c r="L94" s="40">
        <f>(1-Parametros!$B$5)*B94</f>
        <v/>
      </c>
      <c r="M94" s="40">
        <f>-Parametros!$B$9*O93</f>
        <v/>
      </c>
      <c r="N94" s="41">
        <f>J94+K94+L94+M94</f>
        <v/>
      </c>
      <c r="O94" s="19">
        <f>IF(N94&gt;=Parametros!$B$10,1,0)</f>
        <v/>
      </c>
      <c r="P94" s="22" t="n"/>
      <c r="Q94" s="42">
        <f>Parametros!$B$11*H94+(1-Parametros!$B$11)*O94</f>
        <v/>
      </c>
    </row>
    <row r="95" ht="17" customHeight="1">
      <c r="A95" s="36" t="n">
        <v>90</v>
      </c>
      <c r="B95" s="37">
        <f>Datos!$B$93</f>
        <v/>
      </c>
      <c r="C95" s="38">
        <f>Parametros!$B$4*G94</f>
        <v/>
      </c>
      <c r="D95" s="38">
        <f>Parametros!$B$6*N94</f>
        <v/>
      </c>
      <c r="E95" s="38">
        <f>(1-Parametros!$B$4)*B95</f>
        <v/>
      </c>
      <c r="F95" s="38">
        <f>-Parametros!$B$8*H94</f>
        <v/>
      </c>
      <c r="G95" s="39">
        <f>C95+D95+E95+F95</f>
        <v/>
      </c>
      <c r="H95" s="19">
        <f>IF(G95&gt;=Parametros!$B$10,1,0)</f>
        <v/>
      </c>
      <c r="I95" s="22" t="n"/>
      <c r="J95" s="40">
        <f>Parametros!$B$5*N94</f>
        <v/>
      </c>
      <c r="K95" s="40">
        <f>Parametros!$B$7*G95</f>
        <v/>
      </c>
      <c r="L95" s="40">
        <f>(1-Parametros!$B$5)*B95</f>
        <v/>
      </c>
      <c r="M95" s="40">
        <f>-Parametros!$B$9*O94</f>
        <v/>
      </c>
      <c r="N95" s="41">
        <f>J95+K95+L95+M95</f>
        <v/>
      </c>
      <c r="O95" s="19">
        <f>IF(N95&gt;=Parametros!$B$10,1,0)</f>
        <v/>
      </c>
      <c r="P95" s="22" t="n"/>
      <c r="Q95" s="42">
        <f>Parametros!$B$11*H95+(1-Parametros!$B$11)*O95</f>
        <v/>
      </c>
    </row>
    <row r="96" ht="17" customHeight="1">
      <c r="A96" s="36" t="n">
        <v>91</v>
      </c>
      <c r="B96" s="37">
        <f>Datos!$B$94</f>
        <v/>
      </c>
      <c r="C96" s="38">
        <f>Parametros!$B$4*G95</f>
        <v/>
      </c>
      <c r="D96" s="38">
        <f>Parametros!$B$6*N95</f>
        <v/>
      </c>
      <c r="E96" s="38">
        <f>(1-Parametros!$B$4)*B96</f>
        <v/>
      </c>
      <c r="F96" s="38">
        <f>-Parametros!$B$8*H95</f>
        <v/>
      </c>
      <c r="G96" s="39">
        <f>C96+D96+E96+F96</f>
        <v/>
      </c>
      <c r="H96" s="19">
        <f>IF(G96&gt;=Parametros!$B$10,1,0)</f>
        <v/>
      </c>
      <c r="I96" s="22" t="n"/>
      <c r="J96" s="40">
        <f>Parametros!$B$5*N95</f>
        <v/>
      </c>
      <c r="K96" s="40">
        <f>Parametros!$B$7*G96</f>
        <v/>
      </c>
      <c r="L96" s="40">
        <f>(1-Parametros!$B$5)*B96</f>
        <v/>
      </c>
      <c r="M96" s="40">
        <f>-Parametros!$B$9*O95</f>
        <v/>
      </c>
      <c r="N96" s="41">
        <f>J96+K96+L96+M96</f>
        <v/>
      </c>
      <c r="O96" s="19">
        <f>IF(N96&gt;=Parametros!$B$10,1,0)</f>
        <v/>
      </c>
      <c r="P96" s="22" t="n"/>
      <c r="Q96" s="42">
        <f>Parametros!$B$11*H96+(1-Parametros!$B$11)*O96</f>
        <v/>
      </c>
    </row>
    <row r="97" ht="17" customHeight="1">
      <c r="A97" s="36" t="n">
        <v>92</v>
      </c>
      <c r="B97" s="37">
        <f>Datos!$B$95</f>
        <v/>
      </c>
      <c r="C97" s="38">
        <f>Parametros!$B$4*G96</f>
        <v/>
      </c>
      <c r="D97" s="38">
        <f>Parametros!$B$6*N96</f>
        <v/>
      </c>
      <c r="E97" s="38">
        <f>(1-Parametros!$B$4)*B97</f>
        <v/>
      </c>
      <c r="F97" s="38">
        <f>-Parametros!$B$8*H96</f>
        <v/>
      </c>
      <c r="G97" s="39">
        <f>C97+D97+E97+F97</f>
        <v/>
      </c>
      <c r="H97" s="19">
        <f>IF(G97&gt;=Parametros!$B$10,1,0)</f>
        <v/>
      </c>
      <c r="I97" s="22" t="n"/>
      <c r="J97" s="40">
        <f>Parametros!$B$5*N96</f>
        <v/>
      </c>
      <c r="K97" s="40">
        <f>Parametros!$B$7*G97</f>
        <v/>
      </c>
      <c r="L97" s="40">
        <f>(1-Parametros!$B$5)*B97</f>
        <v/>
      </c>
      <c r="M97" s="40">
        <f>-Parametros!$B$9*O96</f>
        <v/>
      </c>
      <c r="N97" s="41">
        <f>J97+K97+L97+M97</f>
        <v/>
      </c>
      <c r="O97" s="19">
        <f>IF(N97&gt;=Parametros!$B$10,1,0)</f>
        <v/>
      </c>
      <c r="P97" s="22" t="n"/>
      <c r="Q97" s="42">
        <f>Parametros!$B$11*H97+(1-Parametros!$B$11)*O97</f>
        <v/>
      </c>
    </row>
    <row r="98" ht="17" customHeight="1">
      <c r="A98" s="36" t="n">
        <v>93</v>
      </c>
      <c r="B98" s="37">
        <f>Datos!$B$96</f>
        <v/>
      </c>
      <c r="C98" s="38">
        <f>Parametros!$B$4*G97</f>
        <v/>
      </c>
      <c r="D98" s="38">
        <f>Parametros!$B$6*N97</f>
        <v/>
      </c>
      <c r="E98" s="38">
        <f>(1-Parametros!$B$4)*B98</f>
        <v/>
      </c>
      <c r="F98" s="38">
        <f>-Parametros!$B$8*H97</f>
        <v/>
      </c>
      <c r="G98" s="39">
        <f>C98+D98+E98+F98</f>
        <v/>
      </c>
      <c r="H98" s="19">
        <f>IF(G98&gt;=Parametros!$B$10,1,0)</f>
        <v/>
      </c>
      <c r="I98" s="22" t="n"/>
      <c r="J98" s="40">
        <f>Parametros!$B$5*N97</f>
        <v/>
      </c>
      <c r="K98" s="40">
        <f>Parametros!$B$7*G98</f>
        <v/>
      </c>
      <c r="L98" s="40">
        <f>(1-Parametros!$B$5)*B98</f>
        <v/>
      </c>
      <c r="M98" s="40">
        <f>-Parametros!$B$9*O97</f>
        <v/>
      </c>
      <c r="N98" s="41">
        <f>J98+K98+L98+M98</f>
        <v/>
      </c>
      <c r="O98" s="19">
        <f>IF(N98&gt;=Parametros!$B$10,1,0)</f>
        <v/>
      </c>
      <c r="P98" s="22" t="n"/>
      <c r="Q98" s="42">
        <f>Parametros!$B$11*H98+(1-Parametros!$B$11)*O98</f>
        <v/>
      </c>
    </row>
    <row r="99" ht="17" customHeight="1">
      <c r="A99" s="36" t="n">
        <v>94</v>
      </c>
      <c r="B99" s="37">
        <f>Datos!$B$97</f>
        <v/>
      </c>
      <c r="C99" s="38">
        <f>Parametros!$B$4*G98</f>
        <v/>
      </c>
      <c r="D99" s="38">
        <f>Parametros!$B$6*N98</f>
        <v/>
      </c>
      <c r="E99" s="38">
        <f>(1-Parametros!$B$4)*B99</f>
        <v/>
      </c>
      <c r="F99" s="38">
        <f>-Parametros!$B$8*H98</f>
        <v/>
      </c>
      <c r="G99" s="39">
        <f>C99+D99+E99+F99</f>
        <v/>
      </c>
      <c r="H99" s="19">
        <f>IF(G99&gt;=Parametros!$B$10,1,0)</f>
        <v/>
      </c>
      <c r="I99" s="22" t="n"/>
      <c r="J99" s="40">
        <f>Parametros!$B$5*N98</f>
        <v/>
      </c>
      <c r="K99" s="40">
        <f>Parametros!$B$7*G99</f>
        <v/>
      </c>
      <c r="L99" s="40">
        <f>(1-Parametros!$B$5)*B99</f>
        <v/>
      </c>
      <c r="M99" s="40">
        <f>-Parametros!$B$9*O98</f>
        <v/>
      </c>
      <c r="N99" s="41">
        <f>J99+K99+L99+M99</f>
        <v/>
      </c>
      <c r="O99" s="19">
        <f>IF(N99&gt;=Parametros!$B$10,1,0)</f>
        <v/>
      </c>
      <c r="P99" s="22" t="n"/>
      <c r="Q99" s="42">
        <f>Parametros!$B$11*H99+(1-Parametros!$B$11)*O99</f>
        <v/>
      </c>
    </row>
    <row r="100" ht="17" customHeight="1">
      <c r="A100" s="36" t="n">
        <v>95</v>
      </c>
      <c r="B100" s="37">
        <f>Datos!$B$98</f>
        <v/>
      </c>
      <c r="C100" s="38">
        <f>Parametros!$B$4*G99</f>
        <v/>
      </c>
      <c r="D100" s="38">
        <f>Parametros!$B$6*N99</f>
        <v/>
      </c>
      <c r="E100" s="38">
        <f>(1-Parametros!$B$4)*B100</f>
        <v/>
      </c>
      <c r="F100" s="38">
        <f>-Parametros!$B$8*H99</f>
        <v/>
      </c>
      <c r="G100" s="39">
        <f>C100+D100+E100+F100</f>
        <v/>
      </c>
      <c r="H100" s="19">
        <f>IF(G100&gt;=Parametros!$B$10,1,0)</f>
        <v/>
      </c>
      <c r="I100" s="22" t="n"/>
      <c r="J100" s="40">
        <f>Parametros!$B$5*N99</f>
        <v/>
      </c>
      <c r="K100" s="40">
        <f>Parametros!$B$7*G100</f>
        <v/>
      </c>
      <c r="L100" s="40">
        <f>(1-Parametros!$B$5)*B100</f>
        <v/>
      </c>
      <c r="M100" s="40">
        <f>-Parametros!$B$9*O99</f>
        <v/>
      </c>
      <c r="N100" s="41">
        <f>J100+K100+L100+M100</f>
        <v/>
      </c>
      <c r="O100" s="19">
        <f>IF(N100&gt;=Parametros!$B$10,1,0)</f>
        <v/>
      </c>
      <c r="P100" s="22" t="n"/>
      <c r="Q100" s="42">
        <f>Parametros!$B$11*H100+(1-Parametros!$B$11)*O100</f>
        <v/>
      </c>
    </row>
    <row r="101" ht="17" customHeight="1">
      <c r="A101" s="36" t="n">
        <v>96</v>
      </c>
      <c r="B101" s="37">
        <f>Datos!$B$99</f>
        <v/>
      </c>
      <c r="C101" s="38">
        <f>Parametros!$B$4*G100</f>
        <v/>
      </c>
      <c r="D101" s="38">
        <f>Parametros!$B$6*N100</f>
        <v/>
      </c>
      <c r="E101" s="38">
        <f>(1-Parametros!$B$4)*B101</f>
        <v/>
      </c>
      <c r="F101" s="38">
        <f>-Parametros!$B$8*H100</f>
        <v/>
      </c>
      <c r="G101" s="39">
        <f>C101+D101+E101+F101</f>
        <v/>
      </c>
      <c r="H101" s="19">
        <f>IF(G101&gt;=Parametros!$B$10,1,0)</f>
        <v/>
      </c>
      <c r="I101" s="22" t="n"/>
      <c r="J101" s="40">
        <f>Parametros!$B$5*N100</f>
        <v/>
      </c>
      <c r="K101" s="40">
        <f>Parametros!$B$7*G101</f>
        <v/>
      </c>
      <c r="L101" s="40">
        <f>(1-Parametros!$B$5)*B101</f>
        <v/>
      </c>
      <c r="M101" s="40">
        <f>-Parametros!$B$9*O100</f>
        <v/>
      </c>
      <c r="N101" s="41">
        <f>J101+K101+L101+M101</f>
        <v/>
      </c>
      <c r="O101" s="19">
        <f>IF(N101&gt;=Parametros!$B$10,1,0)</f>
        <v/>
      </c>
      <c r="P101" s="22" t="n"/>
      <c r="Q101" s="42">
        <f>Parametros!$B$11*H101+(1-Parametros!$B$11)*O101</f>
        <v/>
      </c>
    </row>
    <row r="102" ht="17" customHeight="1">
      <c r="A102" s="36" t="n">
        <v>97</v>
      </c>
      <c r="B102" s="37">
        <f>Datos!$B$100</f>
        <v/>
      </c>
      <c r="C102" s="38">
        <f>Parametros!$B$4*G101</f>
        <v/>
      </c>
      <c r="D102" s="38">
        <f>Parametros!$B$6*N101</f>
        <v/>
      </c>
      <c r="E102" s="38">
        <f>(1-Parametros!$B$4)*B102</f>
        <v/>
      </c>
      <c r="F102" s="38">
        <f>-Parametros!$B$8*H101</f>
        <v/>
      </c>
      <c r="G102" s="39">
        <f>C102+D102+E102+F102</f>
        <v/>
      </c>
      <c r="H102" s="19">
        <f>IF(G102&gt;=Parametros!$B$10,1,0)</f>
        <v/>
      </c>
      <c r="I102" s="22" t="n"/>
      <c r="J102" s="40">
        <f>Parametros!$B$5*N101</f>
        <v/>
      </c>
      <c r="K102" s="40">
        <f>Parametros!$B$7*G102</f>
        <v/>
      </c>
      <c r="L102" s="40">
        <f>(1-Parametros!$B$5)*B102</f>
        <v/>
      </c>
      <c r="M102" s="40">
        <f>-Parametros!$B$9*O101</f>
        <v/>
      </c>
      <c r="N102" s="41">
        <f>J102+K102+L102+M102</f>
        <v/>
      </c>
      <c r="O102" s="19">
        <f>IF(N102&gt;=Parametros!$B$10,1,0)</f>
        <v/>
      </c>
      <c r="P102" s="22" t="n"/>
      <c r="Q102" s="42">
        <f>Parametros!$B$11*H102+(1-Parametros!$B$11)*O102</f>
        <v/>
      </c>
    </row>
    <row r="103" ht="17" customHeight="1">
      <c r="A103" s="36" t="n">
        <v>98</v>
      </c>
      <c r="B103" s="37">
        <f>Datos!$B$101</f>
        <v/>
      </c>
      <c r="C103" s="38">
        <f>Parametros!$B$4*G102</f>
        <v/>
      </c>
      <c r="D103" s="38">
        <f>Parametros!$B$6*N102</f>
        <v/>
      </c>
      <c r="E103" s="38">
        <f>(1-Parametros!$B$4)*B103</f>
        <v/>
      </c>
      <c r="F103" s="38">
        <f>-Parametros!$B$8*H102</f>
        <v/>
      </c>
      <c r="G103" s="39">
        <f>C103+D103+E103+F103</f>
        <v/>
      </c>
      <c r="H103" s="19">
        <f>IF(G103&gt;=Parametros!$B$10,1,0)</f>
        <v/>
      </c>
      <c r="I103" s="22" t="n"/>
      <c r="J103" s="40">
        <f>Parametros!$B$5*N102</f>
        <v/>
      </c>
      <c r="K103" s="40">
        <f>Parametros!$B$7*G103</f>
        <v/>
      </c>
      <c r="L103" s="40">
        <f>(1-Parametros!$B$5)*B103</f>
        <v/>
      </c>
      <c r="M103" s="40">
        <f>-Parametros!$B$9*O102</f>
        <v/>
      </c>
      <c r="N103" s="41">
        <f>J103+K103+L103+M103</f>
        <v/>
      </c>
      <c r="O103" s="19">
        <f>IF(N103&gt;=Parametros!$B$10,1,0)</f>
        <v/>
      </c>
      <c r="P103" s="22" t="n"/>
      <c r="Q103" s="42">
        <f>Parametros!$B$11*H103+(1-Parametros!$B$11)*O103</f>
        <v/>
      </c>
    </row>
    <row r="104" ht="17" customHeight="1">
      <c r="A104" s="36" t="n">
        <v>99</v>
      </c>
      <c r="B104" s="37">
        <f>Datos!$B$102</f>
        <v/>
      </c>
      <c r="C104" s="38">
        <f>Parametros!$B$4*G103</f>
        <v/>
      </c>
      <c r="D104" s="38">
        <f>Parametros!$B$6*N103</f>
        <v/>
      </c>
      <c r="E104" s="38">
        <f>(1-Parametros!$B$4)*B104</f>
        <v/>
      </c>
      <c r="F104" s="38">
        <f>-Parametros!$B$8*H103</f>
        <v/>
      </c>
      <c r="G104" s="39">
        <f>C104+D104+E104+F104</f>
        <v/>
      </c>
      <c r="H104" s="19">
        <f>IF(G104&gt;=Parametros!$B$10,1,0)</f>
        <v/>
      </c>
      <c r="I104" s="22" t="n"/>
      <c r="J104" s="40">
        <f>Parametros!$B$5*N103</f>
        <v/>
      </c>
      <c r="K104" s="40">
        <f>Parametros!$B$7*G104</f>
        <v/>
      </c>
      <c r="L104" s="40">
        <f>(1-Parametros!$B$5)*B104</f>
        <v/>
      </c>
      <c r="M104" s="40">
        <f>-Parametros!$B$9*O103</f>
        <v/>
      </c>
      <c r="N104" s="41">
        <f>J104+K104+L104+M104</f>
        <v/>
      </c>
      <c r="O104" s="19">
        <f>IF(N104&gt;=Parametros!$B$10,1,0)</f>
        <v/>
      </c>
      <c r="P104" s="22" t="n"/>
      <c r="Q104" s="42">
        <f>Parametros!$B$11*H104+(1-Parametros!$B$11)*O104</f>
        <v/>
      </c>
    </row>
    <row r="105" ht="17" customHeight="1">
      <c r="A105" s="36" t="n">
        <v>100</v>
      </c>
      <c r="B105" s="37">
        <f>Datos!$B$103</f>
        <v/>
      </c>
      <c r="C105" s="38">
        <f>Parametros!$B$4*G104</f>
        <v/>
      </c>
      <c r="D105" s="38">
        <f>Parametros!$B$6*N104</f>
        <v/>
      </c>
      <c r="E105" s="38">
        <f>(1-Parametros!$B$4)*B105</f>
        <v/>
      </c>
      <c r="F105" s="38">
        <f>-Parametros!$B$8*H104</f>
        <v/>
      </c>
      <c r="G105" s="39">
        <f>C105+D105+E105+F105</f>
        <v/>
      </c>
      <c r="H105" s="19">
        <f>IF(G105&gt;=Parametros!$B$10,1,0)</f>
        <v/>
      </c>
      <c r="I105" s="22" t="n"/>
      <c r="J105" s="40">
        <f>Parametros!$B$5*N104</f>
        <v/>
      </c>
      <c r="K105" s="40">
        <f>Parametros!$B$7*G105</f>
        <v/>
      </c>
      <c r="L105" s="40">
        <f>(1-Parametros!$B$5)*B105</f>
        <v/>
      </c>
      <c r="M105" s="40">
        <f>-Parametros!$B$9*O104</f>
        <v/>
      </c>
      <c r="N105" s="41">
        <f>J105+K105+L105+M105</f>
        <v/>
      </c>
      <c r="O105" s="19">
        <f>IF(N105&gt;=Parametros!$B$10,1,0)</f>
        <v/>
      </c>
      <c r="P105" s="22" t="n"/>
      <c r="Q105" s="42">
        <f>Parametros!$B$11*H105+(1-Parametros!$B$11)*O105</f>
        <v/>
      </c>
    </row>
    <row r="106" ht="17" customHeight="1">
      <c r="A106" s="36" t="n">
        <v>101</v>
      </c>
      <c r="B106" s="37">
        <f>Datos!$B$104</f>
        <v/>
      </c>
      <c r="C106" s="38">
        <f>Parametros!$B$4*G105</f>
        <v/>
      </c>
      <c r="D106" s="38">
        <f>Parametros!$B$6*N105</f>
        <v/>
      </c>
      <c r="E106" s="38">
        <f>(1-Parametros!$B$4)*B106</f>
        <v/>
      </c>
      <c r="F106" s="38">
        <f>-Parametros!$B$8*H105</f>
        <v/>
      </c>
      <c r="G106" s="39">
        <f>C106+D106+E106+F106</f>
        <v/>
      </c>
      <c r="H106" s="19">
        <f>IF(G106&gt;=Parametros!$B$10,1,0)</f>
        <v/>
      </c>
      <c r="I106" s="22" t="n"/>
      <c r="J106" s="40">
        <f>Parametros!$B$5*N105</f>
        <v/>
      </c>
      <c r="K106" s="40">
        <f>Parametros!$B$7*G106</f>
        <v/>
      </c>
      <c r="L106" s="40">
        <f>(1-Parametros!$B$5)*B106</f>
        <v/>
      </c>
      <c r="M106" s="40">
        <f>-Parametros!$B$9*O105</f>
        <v/>
      </c>
      <c r="N106" s="41">
        <f>J106+K106+L106+M106</f>
        <v/>
      </c>
      <c r="O106" s="19">
        <f>IF(N106&gt;=Parametros!$B$10,1,0)</f>
        <v/>
      </c>
      <c r="P106" s="22" t="n"/>
      <c r="Q106" s="42">
        <f>Parametros!$B$11*H106+(1-Parametros!$B$11)*O106</f>
        <v/>
      </c>
    </row>
    <row r="107" ht="17" customHeight="1">
      <c r="A107" s="36" t="n">
        <v>102</v>
      </c>
      <c r="B107" s="37">
        <f>Datos!$B$105</f>
        <v/>
      </c>
      <c r="C107" s="38">
        <f>Parametros!$B$4*G106</f>
        <v/>
      </c>
      <c r="D107" s="38">
        <f>Parametros!$B$6*N106</f>
        <v/>
      </c>
      <c r="E107" s="38">
        <f>(1-Parametros!$B$4)*B107</f>
        <v/>
      </c>
      <c r="F107" s="38">
        <f>-Parametros!$B$8*H106</f>
        <v/>
      </c>
      <c r="G107" s="39">
        <f>C107+D107+E107+F107</f>
        <v/>
      </c>
      <c r="H107" s="19">
        <f>IF(G107&gt;=Parametros!$B$10,1,0)</f>
        <v/>
      </c>
      <c r="I107" s="22" t="n"/>
      <c r="J107" s="40">
        <f>Parametros!$B$5*N106</f>
        <v/>
      </c>
      <c r="K107" s="40">
        <f>Parametros!$B$7*G107</f>
        <v/>
      </c>
      <c r="L107" s="40">
        <f>(1-Parametros!$B$5)*B107</f>
        <v/>
      </c>
      <c r="M107" s="40">
        <f>-Parametros!$B$9*O106</f>
        <v/>
      </c>
      <c r="N107" s="41">
        <f>J107+K107+L107+M107</f>
        <v/>
      </c>
      <c r="O107" s="19">
        <f>IF(N107&gt;=Parametros!$B$10,1,0)</f>
        <v/>
      </c>
      <c r="P107" s="22" t="n"/>
      <c r="Q107" s="42">
        <f>Parametros!$B$11*H107+(1-Parametros!$B$11)*O107</f>
        <v/>
      </c>
    </row>
    <row r="108" ht="17" customHeight="1">
      <c r="A108" s="36" t="n">
        <v>103</v>
      </c>
      <c r="B108" s="37">
        <f>Datos!$B$106</f>
        <v/>
      </c>
      <c r="C108" s="38">
        <f>Parametros!$B$4*G107</f>
        <v/>
      </c>
      <c r="D108" s="38">
        <f>Parametros!$B$6*N107</f>
        <v/>
      </c>
      <c r="E108" s="38">
        <f>(1-Parametros!$B$4)*B108</f>
        <v/>
      </c>
      <c r="F108" s="38">
        <f>-Parametros!$B$8*H107</f>
        <v/>
      </c>
      <c r="G108" s="39">
        <f>C108+D108+E108+F108</f>
        <v/>
      </c>
      <c r="H108" s="19">
        <f>IF(G108&gt;=Parametros!$B$10,1,0)</f>
        <v/>
      </c>
      <c r="I108" s="22" t="n"/>
      <c r="J108" s="40">
        <f>Parametros!$B$5*N107</f>
        <v/>
      </c>
      <c r="K108" s="40">
        <f>Parametros!$B$7*G108</f>
        <v/>
      </c>
      <c r="L108" s="40">
        <f>(1-Parametros!$B$5)*B108</f>
        <v/>
      </c>
      <c r="M108" s="40">
        <f>-Parametros!$B$9*O107</f>
        <v/>
      </c>
      <c r="N108" s="41">
        <f>J108+K108+L108+M108</f>
        <v/>
      </c>
      <c r="O108" s="19">
        <f>IF(N108&gt;=Parametros!$B$10,1,0)</f>
        <v/>
      </c>
      <c r="P108" s="22" t="n"/>
      <c r="Q108" s="42">
        <f>Parametros!$B$11*H108+(1-Parametros!$B$11)*O108</f>
        <v/>
      </c>
    </row>
    <row r="109" ht="17" customHeight="1">
      <c r="A109" s="36" t="n">
        <v>104</v>
      </c>
      <c r="B109" s="37">
        <f>Datos!$B$107</f>
        <v/>
      </c>
      <c r="C109" s="38">
        <f>Parametros!$B$4*G108</f>
        <v/>
      </c>
      <c r="D109" s="38">
        <f>Parametros!$B$6*N108</f>
        <v/>
      </c>
      <c r="E109" s="38">
        <f>(1-Parametros!$B$4)*B109</f>
        <v/>
      </c>
      <c r="F109" s="38">
        <f>-Parametros!$B$8*H108</f>
        <v/>
      </c>
      <c r="G109" s="39">
        <f>C109+D109+E109+F109</f>
        <v/>
      </c>
      <c r="H109" s="19">
        <f>IF(G109&gt;=Parametros!$B$10,1,0)</f>
        <v/>
      </c>
      <c r="I109" s="22" t="n"/>
      <c r="J109" s="40">
        <f>Parametros!$B$5*N108</f>
        <v/>
      </c>
      <c r="K109" s="40">
        <f>Parametros!$B$7*G109</f>
        <v/>
      </c>
      <c r="L109" s="40">
        <f>(1-Parametros!$B$5)*B109</f>
        <v/>
      </c>
      <c r="M109" s="40">
        <f>-Parametros!$B$9*O108</f>
        <v/>
      </c>
      <c r="N109" s="41">
        <f>J109+K109+L109+M109</f>
        <v/>
      </c>
      <c r="O109" s="19">
        <f>IF(N109&gt;=Parametros!$B$10,1,0)</f>
        <v/>
      </c>
      <c r="P109" s="22" t="n"/>
      <c r="Q109" s="42">
        <f>Parametros!$B$11*H109+(1-Parametros!$B$11)*O109</f>
        <v/>
      </c>
    </row>
    <row r="110" ht="17" customHeight="1">
      <c r="A110" s="36" t="n">
        <v>105</v>
      </c>
      <c r="B110" s="37">
        <f>Datos!$B$108</f>
        <v/>
      </c>
      <c r="C110" s="38">
        <f>Parametros!$B$4*G109</f>
        <v/>
      </c>
      <c r="D110" s="38">
        <f>Parametros!$B$6*N109</f>
        <v/>
      </c>
      <c r="E110" s="38">
        <f>(1-Parametros!$B$4)*B110</f>
        <v/>
      </c>
      <c r="F110" s="38">
        <f>-Parametros!$B$8*H109</f>
        <v/>
      </c>
      <c r="G110" s="39">
        <f>C110+D110+E110+F110</f>
        <v/>
      </c>
      <c r="H110" s="19">
        <f>IF(G110&gt;=Parametros!$B$10,1,0)</f>
        <v/>
      </c>
      <c r="I110" s="22" t="n"/>
      <c r="J110" s="40">
        <f>Parametros!$B$5*N109</f>
        <v/>
      </c>
      <c r="K110" s="40">
        <f>Parametros!$B$7*G110</f>
        <v/>
      </c>
      <c r="L110" s="40">
        <f>(1-Parametros!$B$5)*B110</f>
        <v/>
      </c>
      <c r="M110" s="40">
        <f>-Parametros!$B$9*O109</f>
        <v/>
      </c>
      <c r="N110" s="41">
        <f>J110+K110+L110+M110</f>
        <v/>
      </c>
      <c r="O110" s="19">
        <f>IF(N110&gt;=Parametros!$B$10,1,0)</f>
        <v/>
      </c>
      <c r="P110" s="22" t="n"/>
      <c r="Q110" s="42">
        <f>Parametros!$B$11*H110+(1-Parametros!$B$11)*O110</f>
        <v/>
      </c>
    </row>
    <row r="111" ht="17" customHeight="1">
      <c r="A111" s="36" t="n">
        <v>106</v>
      </c>
      <c r="B111" s="37">
        <f>Datos!$B$109</f>
        <v/>
      </c>
      <c r="C111" s="38">
        <f>Parametros!$B$4*G110</f>
        <v/>
      </c>
      <c r="D111" s="38">
        <f>Parametros!$B$6*N110</f>
        <v/>
      </c>
      <c r="E111" s="38">
        <f>(1-Parametros!$B$4)*B111</f>
        <v/>
      </c>
      <c r="F111" s="38">
        <f>-Parametros!$B$8*H110</f>
        <v/>
      </c>
      <c r="G111" s="39">
        <f>C111+D111+E111+F111</f>
        <v/>
      </c>
      <c r="H111" s="19">
        <f>IF(G111&gt;=Parametros!$B$10,1,0)</f>
        <v/>
      </c>
      <c r="I111" s="22" t="n"/>
      <c r="J111" s="40">
        <f>Parametros!$B$5*N110</f>
        <v/>
      </c>
      <c r="K111" s="40">
        <f>Parametros!$B$7*G111</f>
        <v/>
      </c>
      <c r="L111" s="40">
        <f>(1-Parametros!$B$5)*B111</f>
        <v/>
      </c>
      <c r="M111" s="40">
        <f>-Parametros!$B$9*O110</f>
        <v/>
      </c>
      <c r="N111" s="41">
        <f>J111+K111+L111+M111</f>
        <v/>
      </c>
      <c r="O111" s="19">
        <f>IF(N111&gt;=Parametros!$B$10,1,0)</f>
        <v/>
      </c>
      <c r="P111" s="22" t="n"/>
      <c r="Q111" s="42">
        <f>Parametros!$B$11*H111+(1-Parametros!$B$11)*O111</f>
        <v/>
      </c>
    </row>
    <row r="112" ht="17" customHeight="1">
      <c r="A112" s="36" t="n">
        <v>107</v>
      </c>
      <c r="B112" s="37">
        <f>Datos!$B$110</f>
        <v/>
      </c>
      <c r="C112" s="38">
        <f>Parametros!$B$4*G111</f>
        <v/>
      </c>
      <c r="D112" s="38">
        <f>Parametros!$B$6*N111</f>
        <v/>
      </c>
      <c r="E112" s="38">
        <f>(1-Parametros!$B$4)*B112</f>
        <v/>
      </c>
      <c r="F112" s="38">
        <f>-Parametros!$B$8*H111</f>
        <v/>
      </c>
      <c r="G112" s="39">
        <f>C112+D112+E112+F112</f>
        <v/>
      </c>
      <c r="H112" s="19">
        <f>IF(G112&gt;=Parametros!$B$10,1,0)</f>
        <v/>
      </c>
      <c r="I112" s="22" t="n"/>
      <c r="J112" s="40">
        <f>Parametros!$B$5*N111</f>
        <v/>
      </c>
      <c r="K112" s="40">
        <f>Parametros!$B$7*G112</f>
        <v/>
      </c>
      <c r="L112" s="40">
        <f>(1-Parametros!$B$5)*B112</f>
        <v/>
      </c>
      <c r="M112" s="40">
        <f>-Parametros!$B$9*O111</f>
        <v/>
      </c>
      <c r="N112" s="41">
        <f>J112+K112+L112+M112</f>
        <v/>
      </c>
      <c r="O112" s="19">
        <f>IF(N112&gt;=Parametros!$B$10,1,0)</f>
        <v/>
      </c>
      <c r="P112" s="22" t="n"/>
      <c r="Q112" s="42">
        <f>Parametros!$B$11*H112+(1-Parametros!$B$11)*O112</f>
        <v/>
      </c>
    </row>
    <row r="113" ht="17" customHeight="1">
      <c r="A113" s="36" t="n">
        <v>108</v>
      </c>
      <c r="B113" s="37">
        <f>Datos!$B$111</f>
        <v/>
      </c>
      <c r="C113" s="38">
        <f>Parametros!$B$4*G112</f>
        <v/>
      </c>
      <c r="D113" s="38">
        <f>Parametros!$B$6*N112</f>
        <v/>
      </c>
      <c r="E113" s="38">
        <f>(1-Parametros!$B$4)*B113</f>
        <v/>
      </c>
      <c r="F113" s="38">
        <f>-Parametros!$B$8*H112</f>
        <v/>
      </c>
      <c r="G113" s="39">
        <f>C113+D113+E113+F113</f>
        <v/>
      </c>
      <c r="H113" s="19">
        <f>IF(G113&gt;=Parametros!$B$10,1,0)</f>
        <v/>
      </c>
      <c r="I113" s="22" t="n"/>
      <c r="J113" s="40">
        <f>Parametros!$B$5*N112</f>
        <v/>
      </c>
      <c r="K113" s="40">
        <f>Parametros!$B$7*G113</f>
        <v/>
      </c>
      <c r="L113" s="40">
        <f>(1-Parametros!$B$5)*B113</f>
        <v/>
      </c>
      <c r="M113" s="40">
        <f>-Parametros!$B$9*O112</f>
        <v/>
      </c>
      <c r="N113" s="41">
        <f>J113+K113+L113+M113</f>
        <v/>
      </c>
      <c r="O113" s="19">
        <f>IF(N113&gt;=Parametros!$B$10,1,0)</f>
        <v/>
      </c>
      <c r="P113" s="22" t="n"/>
      <c r="Q113" s="42">
        <f>Parametros!$B$11*H113+(1-Parametros!$B$11)*O113</f>
        <v/>
      </c>
    </row>
    <row r="114" ht="17" customHeight="1">
      <c r="A114" s="36" t="n">
        <v>109</v>
      </c>
      <c r="B114" s="37">
        <f>Datos!$B$112</f>
        <v/>
      </c>
      <c r="C114" s="38">
        <f>Parametros!$B$4*G113</f>
        <v/>
      </c>
      <c r="D114" s="38">
        <f>Parametros!$B$6*N113</f>
        <v/>
      </c>
      <c r="E114" s="38">
        <f>(1-Parametros!$B$4)*B114</f>
        <v/>
      </c>
      <c r="F114" s="38">
        <f>-Parametros!$B$8*H113</f>
        <v/>
      </c>
      <c r="G114" s="39">
        <f>C114+D114+E114+F114</f>
        <v/>
      </c>
      <c r="H114" s="19">
        <f>IF(G114&gt;=Parametros!$B$10,1,0)</f>
        <v/>
      </c>
      <c r="I114" s="22" t="n"/>
      <c r="J114" s="40">
        <f>Parametros!$B$5*N113</f>
        <v/>
      </c>
      <c r="K114" s="40">
        <f>Parametros!$B$7*G114</f>
        <v/>
      </c>
      <c r="L114" s="40">
        <f>(1-Parametros!$B$5)*B114</f>
        <v/>
      </c>
      <c r="M114" s="40">
        <f>-Parametros!$B$9*O113</f>
        <v/>
      </c>
      <c r="N114" s="41">
        <f>J114+K114+L114+M114</f>
        <v/>
      </c>
      <c r="O114" s="19">
        <f>IF(N114&gt;=Parametros!$B$10,1,0)</f>
        <v/>
      </c>
      <c r="P114" s="22" t="n"/>
      <c r="Q114" s="42">
        <f>Parametros!$B$11*H114+(1-Parametros!$B$11)*O114</f>
        <v/>
      </c>
    </row>
    <row r="115" ht="17" customHeight="1">
      <c r="A115" s="36" t="n">
        <v>110</v>
      </c>
      <c r="B115" s="37">
        <f>Datos!$B$113</f>
        <v/>
      </c>
      <c r="C115" s="38">
        <f>Parametros!$B$4*G114</f>
        <v/>
      </c>
      <c r="D115" s="38">
        <f>Parametros!$B$6*N114</f>
        <v/>
      </c>
      <c r="E115" s="38">
        <f>(1-Parametros!$B$4)*B115</f>
        <v/>
      </c>
      <c r="F115" s="38">
        <f>-Parametros!$B$8*H114</f>
        <v/>
      </c>
      <c r="G115" s="39">
        <f>C115+D115+E115+F115</f>
        <v/>
      </c>
      <c r="H115" s="19">
        <f>IF(G115&gt;=Parametros!$B$10,1,0)</f>
        <v/>
      </c>
      <c r="I115" s="22" t="n"/>
      <c r="J115" s="40">
        <f>Parametros!$B$5*N114</f>
        <v/>
      </c>
      <c r="K115" s="40">
        <f>Parametros!$B$7*G115</f>
        <v/>
      </c>
      <c r="L115" s="40">
        <f>(1-Parametros!$B$5)*B115</f>
        <v/>
      </c>
      <c r="M115" s="40">
        <f>-Parametros!$B$9*O114</f>
        <v/>
      </c>
      <c r="N115" s="41">
        <f>J115+K115+L115+M115</f>
        <v/>
      </c>
      <c r="O115" s="19">
        <f>IF(N115&gt;=Parametros!$B$10,1,0)</f>
        <v/>
      </c>
      <c r="P115" s="22" t="n"/>
      <c r="Q115" s="42">
        <f>Parametros!$B$11*H115+(1-Parametros!$B$11)*O115</f>
        <v/>
      </c>
    </row>
    <row r="116" ht="17" customHeight="1">
      <c r="A116" s="36" t="n">
        <v>111</v>
      </c>
      <c r="B116" s="37">
        <f>Datos!$B$114</f>
        <v/>
      </c>
      <c r="C116" s="38">
        <f>Parametros!$B$4*G115</f>
        <v/>
      </c>
      <c r="D116" s="38">
        <f>Parametros!$B$6*N115</f>
        <v/>
      </c>
      <c r="E116" s="38">
        <f>(1-Parametros!$B$4)*B116</f>
        <v/>
      </c>
      <c r="F116" s="38">
        <f>-Parametros!$B$8*H115</f>
        <v/>
      </c>
      <c r="G116" s="39">
        <f>C116+D116+E116+F116</f>
        <v/>
      </c>
      <c r="H116" s="19">
        <f>IF(G116&gt;=Parametros!$B$10,1,0)</f>
        <v/>
      </c>
      <c r="I116" s="22" t="n"/>
      <c r="J116" s="40">
        <f>Parametros!$B$5*N115</f>
        <v/>
      </c>
      <c r="K116" s="40">
        <f>Parametros!$B$7*G116</f>
        <v/>
      </c>
      <c r="L116" s="40">
        <f>(1-Parametros!$B$5)*B116</f>
        <v/>
      </c>
      <c r="M116" s="40">
        <f>-Parametros!$B$9*O115</f>
        <v/>
      </c>
      <c r="N116" s="41">
        <f>J116+K116+L116+M116</f>
        <v/>
      </c>
      <c r="O116" s="19">
        <f>IF(N116&gt;=Parametros!$B$10,1,0)</f>
        <v/>
      </c>
      <c r="P116" s="22" t="n"/>
      <c r="Q116" s="42">
        <f>Parametros!$B$11*H116+(1-Parametros!$B$11)*O116</f>
        <v/>
      </c>
    </row>
    <row r="117" ht="17" customHeight="1">
      <c r="A117" s="36" t="n">
        <v>112</v>
      </c>
      <c r="B117" s="37">
        <f>Datos!$B$115</f>
        <v/>
      </c>
      <c r="C117" s="38">
        <f>Parametros!$B$4*G116</f>
        <v/>
      </c>
      <c r="D117" s="38">
        <f>Parametros!$B$6*N116</f>
        <v/>
      </c>
      <c r="E117" s="38">
        <f>(1-Parametros!$B$4)*B117</f>
        <v/>
      </c>
      <c r="F117" s="38">
        <f>-Parametros!$B$8*H116</f>
        <v/>
      </c>
      <c r="G117" s="39">
        <f>C117+D117+E117+F117</f>
        <v/>
      </c>
      <c r="H117" s="19">
        <f>IF(G117&gt;=Parametros!$B$10,1,0)</f>
        <v/>
      </c>
      <c r="I117" s="22" t="n"/>
      <c r="J117" s="40">
        <f>Parametros!$B$5*N116</f>
        <v/>
      </c>
      <c r="K117" s="40">
        <f>Parametros!$B$7*G117</f>
        <v/>
      </c>
      <c r="L117" s="40">
        <f>(1-Parametros!$B$5)*B117</f>
        <v/>
      </c>
      <c r="M117" s="40">
        <f>-Parametros!$B$9*O116</f>
        <v/>
      </c>
      <c r="N117" s="41">
        <f>J117+K117+L117+M117</f>
        <v/>
      </c>
      <c r="O117" s="19">
        <f>IF(N117&gt;=Parametros!$B$10,1,0)</f>
        <v/>
      </c>
      <c r="P117" s="22" t="n"/>
      <c r="Q117" s="42">
        <f>Parametros!$B$11*H117+(1-Parametros!$B$11)*O117</f>
        <v/>
      </c>
    </row>
    <row r="118" ht="17" customHeight="1">
      <c r="A118" s="36" t="n">
        <v>113</v>
      </c>
      <c r="B118" s="37">
        <f>Datos!$B$116</f>
        <v/>
      </c>
      <c r="C118" s="38">
        <f>Parametros!$B$4*G117</f>
        <v/>
      </c>
      <c r="D118" s="38">
        <f>Parametros!$B$6*N117</f>
        <v/>
      </c>
      <c r="E118" s="38">
        <f>(1-Parametros!$B$4)*B118</f>
        <v/>
      </c>
      <c r="F118" s="38">
        <f>-Parametros!$B$8*H117</f>
        <v/>
      </c>
      <c r="G118" s="39">
        <f>C118+D118+E118+F118</f>
        <v/>
      </c>
      <c r="H118" s="19">
        <f>IF(G118&gt;=Parametros!$B$10,1,0)</f>
        <v/>
      </c>
      <c r="I118" s="22" t="n"/>
      <c r="J118" s="40">
        <f>Parametros!$B$5*N117</f>
        <v/>
      </c>
      <c r="K118" s="40">
        <f>Parametros!$B$7*G118</f>
        <v/>
      </c>
      <c r="L118" s="40">
        <f>(1-Parametros!$B$5)*B118</f>
        <v/>
      </c>
      <c r="M118" s="40">
        <f>-Parametros!$B$9*O117</f>
        <v/>
      </c>
      <c r="N118" s="41">
        <f>J118+K118+L118+M118</f>
        <v/>
      </c>
      <c r="O118" s="19">
        <f>IF(N118&gt;=Parametros!$B$10,1,0)</f>
        <v/>
      </c>
      <c r="P118" s="22" t="n"/>
      <c r="Q118" s="42">
        <f>Parametros!$B$11*H118+(1-Parametros!$B$11)*O118</f>
        <v/>
      </c>
    </row>
    <row r="119" ht="17" customHeight="1">
      <c r="A119" s="36" t="n">
        <v>114</v>
      </c>
      <c r="B119" s="37">
        <f>Datos!$B$117</f>
        <v/>
      </c>
      <c r="C119" s="38">
        <f>Parametros!$B$4*G118</f>
        <v/>
      </c>
      <c r="D119" s="38">
        <f>Parametros!$B$6*N118</f>
        <v/>
      </c>
      <c r="E119" s="38">
        <f>(1-Parametros!$B$4)*B119</f>
        <v/>
      </c>
      <c r="F119" s="38">
        <f>-Parametros!$B$8*H118</f>
        <v/>
      </c>
      <c r="G119" s="39">
        <f>C119+D119+E119+F119</f>
        <v/>
      </c>
      <c r="H119" s="19">
        <f>IF(G119&gt;=Parametros!$B$10,1,0)</f>
        <v/>
      </c>
      <c r="I119" s="22" t="n"/>
      <c r="J119" s="40">
        <f>Parametros!$B$5*N118</f>
        <v/>
      </c>
      <c r="K119" s="40">
        <f>Parametros!$B$7*G119</f>
        <v/>
      </c>
      <c r="L119" s="40">
        <f>(1-Parametros!$B$5)*B119</f>
        <v/>
      </c>
      <c r="M119" s="40">
        <f>-Parametros!$B$9*O118</f>
        <v/>
      </c>
      <c r="N119" s="41">
        <f>J119+K119+L119+M119</f>
        <v/>
      </c>
      <c r="O119" s="19">
        <f>IF(N119&gt;=Parametros!$B$10,1,0)</f>
        <v/>
      </c>
      <c r="P119" s="22" t="n"/>
      <c r="Q119" s="42">
        <f>Parametros!$B$11*H119+(1-Parametros!$B$11)*O119</f>
        <v/>
      </c>
    </row>
    <row r="120" ht="17" customHeight="1">
      <c r="A120" s="36" t="n">
        <v>115</v>
      </c>
      <c r="B120" s="37">
        <f>Datos!$B$118</f>
        <v/>
      </c>
      <c r="C120" s="38">
        <f>Parametros!$B$4*G119</f>
        <v/>
      </c>
      <c r="D120" s="38">
        <f>Parametros!$B$6*N119</f>
        <v/>
      </c>
      <c r="E120" s="38">
        <f>(1-Parametros!$B$4)*B120</f>
        <v/>
      </c>
      <c r="F120" s="38">
        <f>-Parametros!$B$8*H119</f>
        <v/>
      </c>
      <c r="G120" s="39">
        <f>C120+D120+E120+F120</f>
        <v/>
      </c>
      <c r="H120" s="19">
        <f>IF(G120&gt;=Parametros!$B$10,1,0)</f>
        <v/>
      </c>
      <c r="I120" s="22" t="n"/>
      <c r="J120" s="40">
        <f>Parametros!$B$5*N119</f>
        <v/>
      </c>
      <c r="K120" s="40">
        <f>Parametros!$B$7*G120</f>
        <v/>
      </c>
      <c r="L120" s="40">
        <f>(1-Parametros!$B$5)*B120</f>
        <v/>
      </c>
      <c r="M120" s="40">
        <f>-Parametros!$B$9*O119</f>
        <v/>
      </c>
      <c r="N120" s="41">
        <f>J120+K120+L120+M120</f>
        <v/>
      </c>
      <c r="O120" s="19">
        <f>IF(N120&gt;=Parametros!$B$10,1,0)</f>
        <v/>
      </c>
      <c r="P120" s="22" t="n"/>
      <c r="Q120" s="42">
        <f>Parametros!$B$11*H120+(1-Parametros!$B$11)*O120</f>
        <v/>
      </c>
    </row>
    <row r="121" ht="17" customHeight="1">
      <c r="A121" s="36" t="n">
        <v>116</v>
      </c>
      <c r="B121" s="37">
        <f>Datos!$B$119</f>
        <v/>
      </c>
      <c r="C121" s="38">
        <f>Parametros!$B$4*G120</f>
        <v/>
      </c>
      <c r="D121" s="38">
        <f>Parametros!$B$6*N120</f>
        <v/>
      </c>
      <c r="E121" s="38">
        <f>(1-Parametros!$B$4)*B121</f>
        <v/>
      </c>
      <c r="F121" s="38">
        <f>-Parametros!$B$8*H120</f>
        <v/>
      </c>
      <c r="G121" s="39">
        <f>C121+D121+E121+F121</f>
        <v/>
      </c>
      <c r="H121" s="19">
        <f>IF(G121&gt;=Parametros!$B$10,1,0)</f>
        <v/>
      </c>
      <c r="I121" s="22" t="n"/>
      <c r="J121" s="40">
        <f>Parametros!$B$5*N120</f>
        <v/>
      </c>
      <c r="K121" s="40">
        <f>Parametros!$B$7*G121</f>
        <v/>
      </c>
      <c r="L121" s="40">
        <f>(1-Parametros!$B$5)*B121</f>
        <v/>
      </c>
      <c r="M121" s="40">
        <f>-Parametros!$B$9*O120</f>
        <v/>
      </c>
      <c r="N121" s="41">
        <f>J121+K121+L121+M121</f>
        <v/>
      </c>
      <c r="O121" s="19">
        <f>IF(N121&gt;=Parametros!$B$10,1,0)</f>
        <v/>
      </c>
      <c r="P121" s="22" t="n"/>
      <c r="Q121" s="42">
        <f>Parametros!$B$11*H121+(1-Parametros!$B$11)*O121</f>
        <v/>
      </c>
    </row>
    <row r="122" ht="17" customHeight="1">
      <c r="A122" s="36" t="n">
        <v>117</v>
      </c>
      <c r="B122" s="37">
        <f>Datos!$B$120</f>
        <v/>
      </c>
      <c r="C122" s="38">
        <f>Parametros!$B$4*G121</f>
        <v/>
      </c>
      <c r="D122" s="38">
        <f>Parametros!$B$6*N121</f>
        <v/>
      </c>
      <c r="E122" s="38">
        <f>(1-Parametros!$B$4)*B122</f>
        <v/>
      </c>
      <c r="F122" s="38">
        <f>-Parametros!$B$8*H121</f>
        <v/>
      </c>
      <c r="G122" s="39">
        <f>C122+D122+E122+F122</f>
        <v/>
      </c>
      <c r="H122" s="19">
        <f>IF(G122&gt;=Parametros!$B$10,1,0)</f>
        <v/>
      </c>
      <c r="I122" s="22" t="n"/>
      <c r="J122" s="40">
        <f>Parametros!$B$5*N121</f>
        <v/>
      </c>
      <c r="K122" s="40">
        <f>Parametros!$B$7*G122</f>
        <v/>
      </c>
      <c r="L122" s="40">
        <f>(1-Parametros!$B$5)*B122</f>
        <v/>
      </c>
      <c r="M122" s="40">
        <f>-Parametros!$B$9*O121</f>
        <v/>
      </c>
      <c r="N122" s="41">
        <f>J122+K122+L122+M122</f>
        <v/>
      </c>
      <c r="O122" s="19">
        <f>IF(N122&gt;=Parametros!$B$10,1,0)</f>
        <v/>
      </c>
      <c r="P122" s="22" t="n"/>
      <c r="Q122" s="42">
        <f>Parametros!$B$11*H122+(1-Parametros!$B$11)*O122</f>
        <v/>
      </c>
    </row>
    <row r="123" ht="17" customHeight="1">
      <c r="A123" s="36" t="n">
        <v>118</v>
      </c>
      <c r="B123" s="37">
        <f>Datos!$B$121</f>
        <v/>
      </c>
      <c r="C123" s="38">
        <f>Parametros!$B$4*G122</f>
        <v/>
      </c>
      <c r="D123" s="38">
        <f>Parametros!$B$6*N122</f>
        <v/>
      </c>
      <c r="E123" s="38">
        <f>(1-Parametros!$B$4)*B123</f>
        <v/>
      </c>
      <c r="F123" s="38">
        <f>-Parametros!$B$8*H122</f>
        <v/>
      </c>
      <c r="G123" s="39">
        <f>C123+D123+E123+F123</f>
        <v/>
      </c>
      <c r="H123" s="19">
        <f>IF(G123&gt;=Parametros!$B$10,1,0)</f>
        <v/>
      </c>
      <c r="I123" s="22" t="n"/>
      <c r="J123" s="40">
        <f>Parametros!$B$5*N122</f>
        <v/>
      </c>
      <c r="K123" s="40">
        <f>Parametros!$B$7*G123</f>
        <v/>
      </c>
      <c r="L123" s="40">
        <f>(1-Parametros!$B$5)*B123</f>
        <v/>
      </c>
      <c r="M123" s="40">
        <f>-Parametros!$B$9*O122</f>
        <v/>
      </c>
      <c r="N123" s="41">
        <f>J123+K123+L123+M123</f>
        <v/>
      </c>
      <c r="O123" s="19">
        <f>IF(N123&gt;=Parametros!$B$10,1,0)</f>
        <v/>
      </c>
      <c r="P123" s="22" t="n"/>
      <c r="Q123" s="42">
        <f>Parametros!$B$11*H123+(1-Parametros!$B$11)*O123</f>
        <v/>
      </c>
    </row>
    <row r="124" ht="17" customHeight="1">
      <c r="A124" s="36" t="n">
        <v>119</v>
      </c>
      <c r="B124" s="37">
        <f>Datos!$B$122</f>
        <v/>
      </c>
      <c r="C124" s="38">
        <f>Parametros!$B$4*G123</f>
        <v/>
      </c>
      <c r="D124" s="38">
        <f>Parametros!$B$6*N123</f>
        <v/>
      </c>
      <c r="E124" s="38">
        <f>(1-Parametros!$B$4)*B124</f>
        <v/>
      </c>
      <c r="F124" s="38">
        <f>-Parametros!$B$8*H123</f>
        <v/>
      </c>
      <c r="G124" s="39">
        <f>C124+D124+E124+F124</f>
        <v/>
      </c>
      <c r="H124" s="19">
        <f>IF(G124&gt;=Parametros!$B$10,1,0)</f>
        <v/>
      </c>
      <c r="I124" s="22" t="n"/>
      <c r="J124" s="40">
        <f>Parametros!$B$5*N123</f>
        <v/>
      </c>
      <c r="K124" s="40">
        <f>Parametros!$B$7*G124</f>
        <v/>
      </c>
      <c r="L124" s="40">
        <f>(1-Parametros!$B$5)*B124</f>
        <v/>
      </c>
      <c r="M124" s="40">
        <f>-Parametros!$B$9*O123</f>
        <v/>
      </c>
      <c r="N124" s="41">
        <f>J124+K124+L124+M124</f>
        <v/>
      </c>
      <c r="O124" s="19">
        <f>IF(N124&gt;=Parametros!$B$10,1,0)</f>
        <v/>
      </c>
      <c r="P124" s="22" t="n"/>
      <c r="Q124" s="42">
        <f>Parametros!$B$11*H124+(1-Parametros!$B$11)*O124</f>
        <v/>
      </c>
    </row>
    <row r="125" ht="17" customHeight="1">
      <c r="A125" s="36" t="n">
        <v>120</v>
      </c>
      <c r="B125" s="37">
        <f>Datos!$B$123</f>
        <v/>
      </c>
      <c r="C125" s="38">
        <f>Parametros!$B$4*G124</f>
        <v/>
      </c>
      <c r="D125" s="38">
        <f>Parametros!$B$6*N124</f>
        <v/>
      </c>
      <c r="E125" s="38">
        <f>(1-Parametros!$B$4)*B125</f>
        <v/>
      </c>
      <c r="F125" s="38">
        <f>-Parametros!$B$8*H124</f>
        <v/>
      </c>
      <c r="G125" s="39">
        <f>C125+D125+E125+F125</f>
        <v/>
      </c>
      <c r="H125" s="19">
        <f>IF(G125&gt;=Parametros!$B$10,1,0)</f>
        <v/>
      </c>
      <c r="I125" s="22" t="n"/>
      <c r="J125" s="40">
        <f>Parametros!$B$5*N124</f>
        <v/>
      </c>
      <c r="K125" s="40">
        <f>Parametros!$B$7*G125</f>
        <v/>
      </c>
      <c r="L125" s="40">
        <f>(1-Parametros!$B$5)*B125</f>
        <v/>
      </c>
      <c r="M125" s="40">
        <f>-Parametros!$B$9*O124</f>
        <v/>
      </c>
      <c r="N125" s="41">
        <f>J125+K125+L125+M125</f>
        <v/>
      </c>
      <c r="O125" s="19">
        <f>IF(N125&gt;=Parametros!$B$10,1,0)</f>
        <v/>
      </c>
      <c r="P125" s="22" t="n"/>
      <c r="Q125" s="42">
        <f>Parametros!$B$11*H125+(1-Parametros!$B$11)*O125</f>
        <v/>
      </c>
    </row>
    <row r="126" ht="17" customHeight="1">
      <c r="A126" s="36" t="n">
        <v>121</v>
      </c>
      <c r="B126" s="37">
        <f>Datos!$B$124</f>
        <v/>
      </c>
      <c r="C126" s="38">
        <f>Parametros!$B$4*G125</f>
        <v/>
      </c>
      <c r="D126" s="38">
        <f>Parametros!$B$6*N125</f>
        <v/>
      </c>
      <c r="E126" s="38">
        <f>(1-Parametros!$B$4)*B126</f>
        <v/>
      </c>
      <c r="F126" s="38">
        <f>-Parametros!$B$8*H125</f>
        <v/>
      </c>
      <c r="G126" s="39">
        <f>C126+D126+E126+F126</f>
        <v/>
      </c>
      <c r="H126" s="19">
        <f>IF(G126&gt;=Parametros!$B$10,1,0)</f>
        <v/>
      </c>
      <c r="I126" s="22" t="n"/>
      <c r="J126" s="40">
        <f>Parametros!$B$5*N125</f>
        <v/>
      </c>
      <c r="K126" s="40">
        <f>Parametros!$B$7*G126</f>
        <v/>
      </c>
      <c r="L126" s="40">
        <f>(1-Parametros!$B$5)*B126</f>
        <v/>
      </c>
      <c r="M126" s="40">
        <f>-Parametros!$B$9*O125</f>
        <v/>
      </c>
      <c r="N126" s="41">
        <f>J126+K126+L126+M126</f>
        <v/>
      </c>
      <c r="O126" s="19">
        <f>IF(N126&gt;=Parametros!$B$10,1,0)</f>
        <v/>
      </c>
      <c r="P126" s="22" t="n"/>
      <c r="Q126" s="42">
        <f>Parametros!$B$11*H126+(1-Parametros!$B$11)*O126</f>
        <v/>
      </c>
    </row>
    <row r="127" ht="17" customHeight="1">
      <c r="A127" s="36" t="n">
        <v>122</v>
      </c>
      <c r="B127" s="37">
        <f>Datos!$B$125</f>
        <v/>
      </c>
      <c r="C127" s="38">
        <f>Parametros!$B$4*G126</f>
        <v/>
      </c>
      <c r="D127" s="38">
        <f>Parametros!$B$6*N126</f>
        <v/>
      </c>
      <c r="E127" s="38">
        <f>(1-Parametros!$B$4)*B127</f>
        <v/>
      </c>
      <c r="F127" s="38">
        <f>-Parametros!$B$8*H126</f>
        <v/>
      </c>
      <c r="G127" s="39">
        <f>C127+D127+E127+F127</f>
        <v/>
      </c>
      <c r="H127" s="19">
        <f>IF(G127&gt;=Parametros!$B$10,1,0)</f>
        <v/>
      </c>
      <c r="I127" s="22" t="n"/>
      <c r="J127" s="40">
        <f>Parametros!$B$5*N126</f>
        <v/>
      </c>
      <c r="K127" s="40">
        <f>Parametros!$B$7*G127</f>
        <v/>
      </c>
      <c r="L127" s="40">
        <f>(1-Parametros!$B$5)*B127</f>
        <v/>
      </c>
      <c r="M127" s="40">
        <f>-Parametros!$B$9*O126</f>
        <v/>
      </c>
      <c r="N127" s="41">
        <f>J127+K127+L127+M127</f>
        <v/>
      </c>
      <c r="O127" s="19">
        <f>IF(N127&gt;=Parametros!$B$10,1,0)</f>
        <v/>
      </c>
      <c r="P127" s="22" t="n"/>
      <c r="Q127" s="42">
        <f>Parametros!$B$11*H127+(1-Parametros!$B$11)*O127</f>
        <v/>
      </c>
    </row>
    <row r="128" ht="17" customHeight="1">
      <c r="A128" s="36" t="n">
        <v>123</v>
      </c>
      <c r="B128" s="37">
        <f>Datos!$B$126</f>
        <v/>
      </c>
      <c r="C128" s="38">
        <f>Parametros!$B$4*G127</f>
        <v/>
      </c>
      <c r="D128" s="38">
        <f>Parametros!$B$6*N127</f>
        <v/>
      </c>
      <c r="E128" s="38">
        <f>(1-Parametros!$B$4)*B128</f>
        <v/>
      </c>
      <c r="F128" s="38">
        <f>-Parametros!$B$8*H127</f>
        <v/>
      </c>
      <c r="G128" s="39">
        <f>C128+D128+E128+F128</f>
        <v/>
      </c>
      <c r="H128" s="19">
        <f>IF(G128&gt;=Parametros!$B$10,1,0)</f>
        <v/>
      </c>
      <c r="I128" s="22" t="n"/>
      <c r="J128" s="40">
        <f>Parametros!$B$5*N127</f>
        <v/>
      </c>
      <c r="K128" s="40">
        <f>Parametros!$B$7*G128</f>
        <v/>
      </c>
      <c r="L128" s="40">
        <f>(1-Parametros!$B$5)*B128</f>
        <v/>
      </c>
      <c r="M128" s="40">
        <f>-Parametros!$B$9*O127</f>
        <v/>
      </c>
      <c r="N128" s="41">
        <f>J128+K128+L128+M128</f>
        <v/>
      </c>
      <c r="O128" s="19">
        <f>IF(N128&gt;=Parametros!$B$10,1,0)</f>
        <v/>
      </c>
      <c r="P128" s="22" t="n"/>
      <c r="Q128" s="42">
        <f>Parametros!$B$11*H128+(1-Parametros!$B$11)*O128</f>
        <v/>
      </c>
    </row>
    <row r="129" ht="17" customHeight="1">
      <c r="A129" s="36" t="n">
        <v>124</v>
      </c>
      <c r="B129" s="37">
        <f>Datos!$B$127</f>
        <v/>
      </c>
      <c r="C129" s="38">
        <f>Parametros!$B$4*G128</f>
        <v/>
      </c>
      <c r="D129" s="38">
        <f>Parametros!$B$6*N128</f>
        <v/>
      </c>
      <c r="E129" s="38">
        <f>(1-Parametros!$B$4)*B129</f>
        <v/>
      </c>
      <c r="F129" s="38">
        <f>-Parametros!$B$8*H128</f>
        <v/>
      </c>
      <c r="G129" s="39">
        <f>C129+D129+E129+F129</f>
        <v/>
      </c>
      <c r="H129" s="19">
        <f>IF(G129&gt;=Parametros!$B$10,1,0)</f>
        <v/>
      </c>
      <c r="I129" s="22" t="n"/>
      <c r="J129" s="40">
        <f>Parametros!$B$5*N128</f>
        <v/>
      </c>
      <c r="K129" s="40">
        <f>Parametros!$B$7*G129</f>
        <v/>
      </c>
      <c r="L129" s="40">
        <f>(1-Parametros!$B$5)*B129</f>
        <v/>
      </c>
      <c r="M129" s="40">
        <f>-Parametros!$B$9*O128</f>
        <v/>
      </c>
      <c r="N129" s="41">
        <f>J129+K129+L129+M129</f>
        <v/>
      </c>
      <c r="O129" s="19">
        <f>IF(N129&gt;=Parametros!$B$10,1,0)</f>
        <v/>
      </c>
      <c r="P129" s="22" t="n"/>
      <c r="Q129" s="42">
        <f>Parametros!$B$11*H129+(1-Parametros!$B$11)*O129</f>
        <v/>
      </c>
    </row>
    <row r="130" ht="17" customHeight="1">
      <c r="A130" s="36" t="n">
        <v>125</v>
      </c>
      <c r="B130" s="37">
        <f>Datos!$B$128</f>
        <v/>
      </c>
      <c r="C130" s="38">
        <f>Parametros!$B$4*G129</f>
        <v/>
      </c>
      <c r="D130" s="38">
        <f>Parametros!$B$6*N129</f>
        <v/>
      </c>
      <c r="E130" s="38">
        <f>(1-Parametros!$B$4)*B130</f>
        <v/>
      </c>
      <c r="F130" s="38">
        <f>-Parametros!$B$8*H129</f>
        <v/>
      </c>
      <c r="G130" s="39">
        <f>C130+D130+E130+F130</f>
        <v/>
      </c>
      <c r="H130" s="19">
        <f>IF(G130&gt;=Parametros!$B$10,1,0)</f>
        <v/>
      </c>
      <c r="I130" s="22" t="n"/>
      <c r="J130" s="40">
        <f>Parametros!$B$5*N129</f>
        <v/>
      </c>
      <c r="K130" s="40">
        <f>Parametros!$B$7*G130</f>
        <v/>
      </c>
      <c r="L130" s="40">
        <f>(1-Parametros!$B$5)*B130</f>
        <v/>
      </c>
      <c r="M130" s="40">
        <f>-Parametros!$B$9*O129</f>
        <v/>
      </c>
      <c r="N130" s="41">
        <f>J130+K130+L130+M130</f>
        <v/>
      </c>
      <c r="O130" s="19">
        <f>IF(N130&gt;=Parametros!$B$10,1,0)</f>
        <v/>
      </c>
      <c r="P130" s="22" t="n"/>
      <c r="Q130" s="42">
        <f>Parametros!$B$11*H130+(1-Parametros!$B$11)*O130</f>
        <v/>
      </c>
    </row>
    <row r="131" ht="17" customHeight="1">
      <c r="A131" s="36" t="n">
        <v>126</v>
      </c>
      <c r="B131" s="37">
        <f>Datos!$B$129</f>
        <v/>
      </c>
      <c r="C131" s="38">
        <f>Parametros!$B$4*G130</f>
        <v/>
      </c>
      <c r="D131" s="38">
        <f>Parametros!$B$6*N130</f>
        <v/>
      </c>
      <c r="E131" s="38">
        <f>(1-Parametros!$B$4)*B131</f>
        <v/>
      </c>
      <c r="F131" s="38">
        <f>-Parametros!$B$8*H130</f>
        <v/>
      </c>
      <c r="G131" s="39">
        <f>C131+D131+E131+F131</f>
        <v/>
      </c>
      <c r="H131" s="19">
        <f>IF(G131&gt;=Parametros!$B$10,1,0)</f>
        <v/>
      </c>
      <c r="I131" s="22" t="n"/>
      <c r="J131" s="40">
        <f>Parametros!$B$5*N130</f>
        <v/>
      </c>
      <c r="K131" s="40">
        <f>Parametros!$B$7*G131</f>
        <v/>
      </c>
      <c r="L131" s="40">
        <f>(1-Parametros!$B$5)*B131</f>
        <v/>
      </c>
      <c r="M131" s="40">
        <f>-Parametros!$B$9*O130</f>
        <v/>
      </c>
      <c r="N131" s="41">
        <f>J131+K131+L131+M131</f>
        <v/>
      </c>
      <c r="O131" s="19">
        <f>IF(N131&gt;=Parametros!$B$10,1,0)</f>
        <v/>
      </c>
      <c r="P131" s="22" t="n"/>
      <c r="Q131" s="42">
        <f>Parametros!$B$11*H131+(1-Parametros!$B$11)*O131</f>
        <v/>
      </c>
    </row>
    <row r="132" ht="17" customHeight="1">
      <c r="A132" s="36" t="n">
        <v>127</v>
      </c>
      <c r="B132" s="37">
        <f>Datos!$B$130</f>
        <v/>
      </c>
      <c r="C132" s="38">
        <f>Parametros!$B$4*G131</f>
        <v/>
      </c>
      <c r="D132" s="38">
        <f>Parametros!$B$6*N131</f>
        <v/>
      </c>
      <c r="E132" s="38">
        <f>(1-Parametros!$B$4)*B132</f>
        <v/>
      </c>
      <c r="F132" s="38">
        <f>-Parametros!$B$8*H131</f>
        <v/>
      </c>
      <c r="G132" s="39">
        <f>C132+D132+E132+F132</f>
        <v/>
      </c>
      <c r="H132" s="19">
        <f>IF(G132&gt;=Parametros!$B$10,1,0)</f>
        <v/>
      </c>
      <c r="I132" s="22" t="n"/>
      <c r="J132" s="40">
        <f>Parametros!$B$5*N131</f>
        <v/>
      </c>
      <c r="K132" s="40">
        <f>Parametros!$B$7*G132</f>
        <v/>
      </c>
      <c r="L132" s="40">
        <f>(1-Parametros!$B$5)*B132</f>
        <v/>
      </c>
      <c r="M132" s="40">
        <f>-Parametros!$B$9*O131</f>
        <v/>
      </c>
      <c r="N132" s="41">
        <f>J132+K132+L132+M132</f>
        <v/>
      </c>
      <c r="O132" s="19">
        <f>IF(N132&gt;=Parametros!$B$10,1,0)</f>
        <v/>
      </c>
      <c r="P132" s="22" t="n"/>
      <c r="Q132" s="42">
        <f>Parametros!$B$11*H132+(1-Parametros!$B$11)*O132</f>
        <v/>
      </c>
    </row>
    <row r="133" ht="17" customHeight="1">
      <c r="A133" s="36" t="n">
        <v>128</v>
      </c>
      <c r="B133" s="37">
        <f>Datos!$B$131</f>
        <v/>
      </c>
      <c r="C133" s="38">
        <f>Parametros!$B$4*G132</f>
        <v/>
      </c>
      <c r="D133" s="38">
        <f>Parametros!$B$6*N132</f>
        <v/>
      </c>
      <c r="E133" s="38">
        <f>(1-Parametros!$B$4)*B133</f>
        <v/>
      </c>
      <c r="F133" s="38">
        <f>-Parametros!$B$8*H132</f>
        <v/>
      </c>
      <c r="G133" s="39">
        <f>C133+D133+E133+F133</f>
        <v/>
      </c>
      <c r="H133" s="19">
        <f>IF(G133&gt;=Parametros!$B$10,1,0)</f>
        <v/>
      </c>
      <c r="I133" s="22" t="n"/>
      <c r="J133" s="40">
        <f>Parametros!$B$5*N132</f>
        <v/>
      </c>
      <c r="K133" s="40">
        <f>Parametros!$B$7*G133</f>
        <v/>
      </c>
      <c r="L133" s="40">
        <f>(1-Parametros!$B$5)*B133</f>
        <v/>
      </c>
      <c r="M133" s="40">
        <f>-Parametros!$B$9*O132</f>
        <v/>
      </c>
      <c r="N133" s="41">
        <f>J133+K133+L133+M133</f>
        <v/>
      </c>
      <c r="O133" s="19">
        <f>IF(N133&gt;=Parametros!$B$10,1,0)</f>
        <v/>
      </c>
      <c r="P133" s="22" t="n"/>
      <c r="Q133" s="42">
        <f>Parametros!$B$11*H133+(1-Parametros!$B$11)*O133</f>
        <v/>
      </c>
    </row>
    <row r="134" ht="17" customHeight="1">
      <c r="A134" s="36" t="n">
        <v>129</v>
      </c>
      <c r="B134" s="37">
        <f>Datos!$B$132</f>
        <v/>
      </c>
      <c r="C134" s="38">
        <f>Parametros!$B$4*G133</f>
        <v/>
      </c>
      <c r="D134" s="38">
        <f>Parametros!$B$6*N133</f>
        <v/>
      </c>
      <c r="E134" s="38">
        <f>(1-Parametros!$B$4)*B134</f>
        <v/>
      </c>
      <c r="F134" s="38">
        <f>-Parametros!$B$8*H133</f>
        <v/>
      </c>
      <c r="G134" s="39">
        <f>C134+D134+E134+F134</f>
        <v/>
      </c>
      <c r="H134" s="19">
        <f>IF(G134&gt;=Parametros!$B$10,1,0)</f>
        <v/>
      </c>
      <c r="I134" s="22" t="n"/>
      <c r="J134" s="40">
        <f>Parametros!$B$5*N133</f>
        <v/>
      </c>
      <c r="K134" s="40">
        <f>Parametros!$B$7*G134</f>
        <v/>
      </c>
      <c r="L134" s="40">
        <f>(1-Parametros!$B$5)*B134</f>
        <v/>
      </c>
      <c r="M134" s="40">
        <f>-Parametros!$B$9*O133</f>
        <v/>
      </c>
      <c r="N134" s="41">
        <f>J134+K134+L134+M134</f>
        <v/>
      </c>
      <c r="O134" s="19">
        <f>IF(N134&gt;=Parametros!$B$10,1,0)</f>
        <v/>
      </c>
      <c r="P134" s="22" t="n"/>
      <c r="Q134" s="42">
        <f>Parametros!$B$11*H134+(1-Parametros!$B$11)*O134</f>
        <v/>
      </c>
    </row>
    <row r="135" ht="17" customHeight="1">
      <c r="A135" s="36" t="n">
        <v>130</v>
      </c>
      <c r="B135" s="37">
        <f>Datos!$B$133</f>
        <v/>
      </c>
      <c r="C135" s="38">
        <f>Parametros!$B$4*G134</f>
        <v/>
      </c>
      <c r="D135" s="38">
        <f>Parametros!$B$6*N134</f>
        <v/>
      </c>
      <c r="E135" s="38">
        <f>(1-Parametros!$B$4)*B135</f>
        <v/>
      </c>
      <c r="F135" s="38">
        <f>-Parametros!$B$8*H134</f>
        <v/>
      </c>
      <c r="G135" s="39">
        <f>C135+D135+E135+F135</f>
        <v/>
      </c>
      <c r="H135" s="19">
        <f>IF(G135&gt;=Parametros!$B$10,1,0)</f>
        <v/>
      </c>
      <c r="I135" s="22" t="n"/>
      <c r="J135" s="40">
        <f>Parametros!$B$5*N134</f>
        <v/>
      </c>
      <c r="K135" s="40">
        <f>Parametros!$B$7*G135</f>
        <v/>
      </c>
      <c r="L135" s="40">
        <f>(1-Parametros!$B$5)*B135</f>
        <v/>
      </c>
      <c r="M135" s="40">
        <f>-Parametros!$B$9*O134</f>
        <v/>
      </c>
      <c r="N135" s="41">
        <f>J135+K135+L135+M135</f>
        <v/>
      </c>
      <c r="O135" s="19">
        <f>IF(N135&gt;=Parametros!$B$10,1,0)</f>
        <v/>
      </c>
      <c r="P135" s="22" t="n"/>
      <c r="Q135" s="42">
        <f>Parametros!$B$11*H135+(1-Parametros!$B$11)*O135</f>
        <v/>
      </c>
    </row>
    <row r="136" ht="17" customHeight="1">
      <c r="A136" s="36" t="n">
        <v>131</v>
      </c>
      <c r="B136" s="37">
        <f>Datos!$B$134</f>
        <v/>
      </c>
      <c r="C136" s="38">
        <f>Parametros!$B$4*G135</f>
        <v/>
      </c>
      <c r="D136" s="38">
        <f>Parametros!$B$6*N135</f>
        <v/>
      </c>
      <c r="E136" s="38">
        <f>(1-Parametros!$B$4)*B136</f>
        <v/>
      </c>
      <c r="F136" s="38">
        <f>-Parametros!$B$8*H135</f>
        <v/>
      </c>
      <c r="G136" s="39">
        <f>C136+D136+E136+F136</f>
        <v/>
      </c>
      <c r="H136" s="19">
        <f>IF(G136&gt;=Parametros!$B$10,1,0)</f>
        <v/>
      </c>
      <c r="I136" s="22" t="n"/>
      <c r="J136" s="40">
        <f>Parametros!$B$5*N135</f>
        <v/>
      </c>
      <c r="K136" s="40">
        <f>Parametros!$B$7*G136</f>
        <v/>
      </c>
      <c r="L136" s="40">
        <f>(1-Parametros!$B$5)*B136</f>
        <v/>
      </c>
      <c r="M136" s="40">
        <f>-Parametros!$B$9*O135</f>
        <v/>
      </c>
      <c r="N136" s="41">
        <f>J136+K136+L136+M136</f>
        <v/>
      </c>
      <c r="O136" s="19">
        <f>IF(N136&gt;=Parametros!$B$10,1,0)</f>
        <v/>
      </c>
      <c r="P136" s="22" t="n"/>
      <c r="Q136" s="42">
        <f>Parametros!$B$11*H136+(1-Parametros!$B$11)*O136</f>
        <v/>
      </c>
    </row>
    <row r="137" ht="17" customHeight="1">
      <c r="A137" s="36" t="n">
        <v>132</v>
      </c>
      <c r="B137" s="37">
        <f>Datos!$B$135</f>
        <v/>
      </c>
      <c r="C137" s="38">
        <f>Parametros!$B$4*G136</f>
        <v/>
      </c>
      <c r="D137" s="38">
        <f>Parametros!$B$6*N136</f>
        <v/>
      </c>
      <c r="E137" s="38">
        <f>(1-Parametros!$B$4)*B137</f>
        <v/>
      </c>
      <c r="F137" s="38">
        <f>-Parametros!$B$8*H136</f>
        <v/>
      </c>
      <c r="G137" s="39">
        <f>C137+D137+E137+F137</f>
        <v/>
      </c>
      <c r="H137" s="19">
        <f>IF(G137&gt;=Parametros!$B$10,1,0)</f>
        <v/>
      </c>
      <c r="I137" s="22" t="n"/>
      <c r="J137" s="40">
        <f>Parametros!$B$5*N136</f>
        <v/>
      </c>
      <c r="K137" s="40">
        <f>Parametros!$B$7*G137</f>
        <v/>
      </c>
      <c r="L137" s="40">
        <f>(1-Parametros!$B$5)*B137</f>
        <v/>
      </c>
      <c r="M137" s="40">
        <f>-Parametros!$B$9*O136</f>
        <v/>
      </c>
      <c r="N137" s="41">
        <f>J137+K137+L137+M137</f>
        <v/>
      </c>
      <c r="O137" s="19">
        <f>IF(N137&gt;=Parametros!$B$10,1,0)</f>
        <v/>
      </c>
      <c r="P137" s="22" t="n"/>
      <c r="Q137" s="42">
        <f>Parametros!$B$11*H137+(1-Parametros!$B$11)*O137</f>
        <v/>
      </c>
    </row>
    <row r="138" ht="17" customHeight="1">
      <c r="A138" s="36" t="n">
        <v>133</v>
      </c>
      <c r="B138" s="37">
        <f>Datos!$B$136</f>
        <v/>
      </c>
      <c r="C138" s="38">
        <f>Parametros!$B$4*G137</f>
        <v/>
      </c>
      <c r="D138" s="38">
        <f>Parametros!$B$6*N137</f>
        <v/>
      </c>
      <c r="E138" s="38">
        <f>(1-Parametros!$B$4)*B138</f>
        <v/>
      </c>
      <c r="F138" s="38">
        <f>-Parametros!$B$8*H137</f>
        <v/>
      </c>
      <c r="G138" s="39">
        <f>C138+D138+E138+F138</f>
        <v/>
      </c>
      <c r="H138" s="19">
        <f>IF(G138&gt;=Parametros!$B$10,1,0)</f>
        <v/>
      </c>
      <c r="I138" s="22" t="n"/>
      <c r="J138" s="40">
        <f>Parametros!$B$5*N137</f>
        <v/>
      </c>
      <c r="K138" s="40">
        <f>Parametros!$B$7*G138</f>
        <v/>
      </c>
      <c r="L138" s="40">
        <f>(1-Parametros!$B$5)*B138</f>
        <v/>
      </c>
      <c r="M138" s="40">
        <f>-Parametros!$B$9*O137</f>
        <v/>
      </c>
      <c r="N138" s="41">
        <f>J138+K138+L138+M138</f>
        <v/>
      </c>
      <c r="O138" s="19">
        <f>IF(N138&gt;=Parametros!$B$10,1,0)</f>
        <v/>
      </c>
      <c r="P138" s="22" t="n"/>
      <c r="Q138" s="42">
        <f>Parametros!$B$11*H138+(1-Parametros!$B$11)*O138</f>
        <v/>
      </c>
    </row>
    <row r="139" ht="17" customHeight="1">
      <c r="A139" s="36" t="n">
        <v>134</v>
      </c>
      <c r="B139" s="37">
        <f>Datos!$B$137</f>
        <v/>
      </c>
      <c r="C139" s="38">
        <f>Parametros!$B$4*G138</f>
        <v/>
      </c>
      <c r="D139" s="38">
        <f>Parametros!$B$6*N138</f>
        <v/>
      </c>
      <c r="E139" s="38">
        <f>(1-Parametros!$B$4)*B139</f>
        <v/>
      </c>
      <c r="F139" s="38">
        <f>-Parametros!$B$8*H138</f>
        <v/>
      </c>
      <c r="G139" s="39">
        <f>C139+D139+E139+F139</f>
        <v/>
      </c>
      <c r="H139" s="19">
        <f>IF(G139&gt;=Parametros!$B$10,1,0)</f>
        <v/>
      </c>
      <c r="I139" s="22" t="n"/>
      <c r="J139" s="40">
        <f>Parametros!$B$5*N138</f>
        <v/>
      </c>
      <c r="K139" s="40">
        <f>Parametros!$B$7*G139</f>
        <v/>
      </c>
      <c r="L139" s="40">
        <f>(1-Parametros!$B$5)*B139</f>
        <v/>
      </c>
      <c r="M139" s="40">
        <f>-Parametros!$B$9*O138</f>
        <v/>
      </c>
      <c r="N139" s="41">
        <f>J139+K139+L139+M139</f>
        <v/>
      </c>
      <c r="O139" s="19">
        <f>IF(N139&gt;=Parametros!$B$10,1,0)</f>
        <v/>
      </c>
      <c r="P139" s="22" t="n"/>
      <c r="Q139" s="42">
        <f>Parametros!$B$11*H139+(1-Parametros!$B$11)*O139</f>
        <v/>
      </c>
    </row>
    <row r="140" ht="17" customHeight="1">
      <c r="A140" s="36" t="n">
        <v>135</v>
      </c>
      <c r="B140" s="37">
        <f>Datos!$B$138</f>
        <v/>
      </c>
      <c r="C140" s="38">
        <f>Parametros!$B$4*G139</f>
        <v/>
      </c>
      <c r="D140" s="38">
        <f>Parametros!$B$6*N139</f>
        <v/>
      </c>
      <c r="E140" s="38">
        <f>(1-Parametros!$B$4)*B140</f>
        <v/>
      </c>
      <c r="F140" s="38">
        <f>-Parametros!$B$8*H139</f>
        <v/>
      </c>
      <c r="G140" s="39">
        <f>C140+D140+E140+F140</f>
        <v/>
      </c>
      <c r="H140" s="19">
        <f>IF(G140&gt;=Parametros!$B$10,1,0)</f>
        <v/>
      </c>
      <c r="I140" s="22" t="n"/>
      <c r="J140" s="40">
        <f>Parametros!$B$5*N139</f>
        <v/>
      </c>
      <c r="K140" s="40">
        <f>Parametros!$B$7*G140</f>
        <v/>
      </c>
      <c r="L140" s="40">
        <f>(1-Parametros!$B$5)*B140</f>
        <v/>
      </c>
      <c r="M140" s="40">
        <f>-Parametros!$B$9*O139</f>
        <v/>
      </c>
      <c r="N140" s="41">
        <f>J140+K140+L140+M140</f>
        <v/>
      </c>
      <c r="O140" s="19">
        <f>IF(N140&gt;=Parametros!$B$10,1,0)</f>
        <v/>
      </c>
      <c r="P140" s="22" t="n"/>
      <c r="Q140" s="42">
        <f>Parametros!$B$11*H140+(1-Parametros!$B$11)*O140</f>
        <v/>
      </c>
    </row>
    <row r="141" ht="17" customHeight="1">
      <c r="A141" s="36" t="n">
        <v>136</v>
      </c>
      <c r="B141" s="37">
        <f>Datos!$B$139</f>
        <v/>
      </c>
      <c r="C141" s="38">
        <f>Parametros!$B$4*G140</f>
        <v/>
      </c>
      <c r="D141" s="38">
        <f>Parametros!$B$6*N140</f>
        <v/>
      </c>
      <c r="E141" s="38">
        <f>(1-Parametros!$B$4)*B141</f>
        <v/>
      </c>
      <c r="F141" s="38">
        <f>-Parametros!$B$8*H140</f>
        <v/>
      </c>
      <c r="G141" s="39">
        <f>C141+D141+E141+F141</f>
        <v/>
      </c>
      <c r="H141" s="19">
        <f>IF(G141&gt;=Parametros!$B$10,1,0)</f>
        <v/>
      </c>
      <c r="I141" s="22" t="n"/>
      <c r="J141" s="40">
        <f>Parametros!$B$5*N140</f>
        <v/>
      </c>
      <c r="K141" s="40">
        <f>Parametros!$B$7*G141</f>
        <v/>
      </c>
      <c r="L141" s="40">
        <f>(1-Parametros!$B$5)*B141</f>
        <v/>
      </c>
      <c r="M141" s="40">
        <f>-Parametros!$B$9*O140</f>
        <v/>
      </c>
      <c r="N141" s="41">
        <f>J141+K141+L141+M141</f>
        <v/>
      </c>
      <c r="O141" s="19">
        <f>IF(N141&gt;=Parametros!$B$10,1,0)</f>
        <v/>
      </c>
      <c r="P141" s="22" t="n"/>
      <c r="Q141" s="42">
        <f>Parametros!$B$11*H141+(1-Parametros!$B$11)*O141</f>
        <v/>
      </c>
    </row>
    <row r="142" ht="17" customHeight="1">
      <c r="A142" s="36" t="n">
        <v>137</v>
      </c>
      <c r="B142" s="37">
        <f>Datos!$B$140</f>
        <v/>
      </c>
      <c r="C142" s="38">
        <f>Parametros!$B$4*G141</f>
        <v/>
      </c>
      <c r="D142" s="38">
        <f>Parametros!$B$6*N141</f>
        <v/>
      </c>
      <c r="E142" s="38">
        <f>(1-Parametros!$B$4)*B142</f>
        <v/>
      </c>
      <c r="F142" s="38">
        <f>-Parametros!$B$8*H141</f>
        <v/>
      </c>
      <c r="G142" s="39">
        <f>C142+D142+E142+F142</f>
        <v/>
      </c>
      <c r="H142" s="19">
        <f>IF(G142&gt;=Parametros!$B$10,1,0)</f>
        <v/>
      </c>
      <c r="I142" s="22" t="n"/>
      <c r="J142" s="40">
        <f>Parametros!$B$5*N141</f>
        <v/>
      </c>
      <c r="K142" s="40">
        <f>Parametros!$B$7*G142</f>
        <v/>
      </c>
      <c r="L142" s="40">
        <f>(1-Parametros!$B$5)*B142</f>
        <v/>
      </c>
      <c r="M142" s="40">
        <f>-Parametros!$B$9*O141</f>
        <v/>
      </c>
      <c r="N142" s="41">
        <f>J142+K142+L142+M142</f>
        <v/>
      </c>
      <c r="O142" s="19">
        <f>IF(N142&gt;=Parametros!$B$10,1,0)</f>
        <v/>
      </c>
      <c r="P142" s="22" t="n"/>
      <c r="Q142" s="42">
        <f>Parametros!$B$11*H142+(1-Parametros!$B$11)*O142</f>
        <v/>
      </c>
    </row>
    <row r="143" ht="17" customHeight="1">
      <c r="A143" s="36" t="n">
        <v>138</v>
      </c>
      <c r="B143" s="37">
        <f>Datos!$B$141</f>
        <v/>
      </c>
      <c r="C143" s="38">
        <f>Parametros!$B$4*G142</f>
        <v/>
      </c>
      <c r="D143" s="38">
        <f>Parametros!$B$6*N142</f>
        <v/>
      </c>
      <c r="E143" s="38">
        <f>(1-Parametros!$B$4)*B143</f>
        <v/>
      </c>
      <c r="F143" s="38">
        <f>-Parametros!$B$8*H142</f>
        <v/>
      </c>
      <c r="G143" s="39">
        <f>C143+D143+E143+F143</f>
        <v/>
      </c>
      <c r="H143" s="19">
        <f>IF(G143&gt;=Parametros!$B$10,1,0)</f>
        <v/>
      </c>
      <c r="I143" s="22" t="n"/>
      <c r="J143" s="40">
        <f>Parametros!$B$5*N142</f>
        <v/>
      </c>
      <c r="K143" s="40">
        <f>Parametros!$B$7*G143</f>
        <v/>
      </c>
      <c r="L143" s="40">
        <f>(1-Parametros!$B$5)*B143</f>
        <v/>
      </c>
      <c r="M143" s="40">
        <f>-Parametros!$B$9*O142</f>
        <v/>
      </c>
      <c r="N143" s="41">
        <f>J143+K143+L143+M143</f>
        <v/>
      </c>
      <c r="O143" s="19">
        <f>IF(N143&gt;=Parametros!$B$10,1,0)</f>
        <v/>
      </c>
      <c r="P143" s="22" t="n"/>
      <c r="Q143" s="42">
        <f>Parametros!$B$11*H143+(1-Parametros!$B$11)*O143</f>
        <v/>
      </c>
    </row>
    <row r="144" ht="17" customHeight="1">
      <c r="A144" s="36" t="n">
        <v>139</v>
      </c>
      <c r="B144" s="37">
        <f>Datos!$B$142</f>
        <v/>
      </c>
      <c r="C144" s="38">
        <f>Parametros!$B$4*G143</f>
        <v/>
      </c>
      <c r="D144" s="38">
        <f>Parametros!$B$6*N143</f>
        <v/>
      </c>
      <c r="E144" s="38">
        <f>(1-Parametros!$B$4)*B144</f>
        <v/>
      </c>
      <c r="F144" s="38">
        <f>-Parametros!$B$8*H143</f>
        <v/>
      </c>
      <c r="G144" s="39">
        <f>C144+D144+E144+F144</f>
        <v/>
      </c>
      <c r="H144" s="19">
        <f>IF(G144&gt;=Parametros!$B$10,1,0)</f>
        <v/>
      </c>
      <c r="I144" s="22" t="n"/>
      <c r="J144" s="40">
        <f>Parametros!$B$5*N143</f>
        <v/>
      </c>
      <c r="K144" s="40">
        <f>Parametros!$B$7*G144</f>
        <v/>
      </c>
      <c r="L144" s="40">
        <f>(1-Parametros!$B$5)*B144</f>
        <v/>
      </c>
      <c r="M144" s="40">
        <f>-Parametros!$B$9*O143</f>
        <v/>
      </c>
      <c r="N144" s="41">
        <f>J144+K144+L144+M144</f>
        <v/>
      </c>
      <c r="O144" s="19">
        <f>IF(N144&gt;=Parametros!$B$10,1,0)</f>
        <v/>
      </c>
      <c r="P144" s="22" t="n"/>
      <c r="Q144" s="42">
        <f>Parametros!$B$11*H144+(1-Parametros!$B$11)*O144</f>
        <v/>
      </c>
    </row>
    <row r="145" ht="17" customHeight="1">
      <c r="A145" s="36" t="n">
        <v>140</v>
      </c>
      <c r="B145" s="37">
        <f>Datos!$B$143</f>
        <v/>
      </c>
      <c r="C145" s="38">
        <f>Parametros!$B$4*G144</f>
        <v/>
      </c>
      <c r="D145" s="38">
        <f>Parametros!$B$6*N144</f>
        <v/>
      </c>
      <c r="E145" s="38">
        <f>(1-Parametros!$B$4)*B145</f>
        <v/>
      </c>
      <c r="F145" s="38">
        <f>-Parametros!$B$8*H144</f>
        <v/>
      </c>
      <c r="G145" s="39">
        <f>C145+D145+E145+F145</f>
        <v/>
      </c>
      <c r="H145" s="19">
        <f>IF(G145&gt;=Parametros!$B$10,1,0)</f>
        <v/>
      </c>
      <c r="I145" s="22" t="n"/>
      <c r="J145" s="40">
        <f>Parametros!$B$5*N144</f>
        <v/>
      </c>
      <c r="K145" s="40">
        <f>Parametros!$B$7*G145</f>
        <v/>
      </c>
      <c r="L145" s="40">
        <f>(1-Parametros!$B$5)*B145</f>
        <v/>
      </c>
      <c r="M145" s="40">
        <f>-Parametros!$B$9*O144</f>
        <v/>
      </c>
      <c r="N145" s="41">
        <f>J145+K145+L145+M145</f>
        <v/>
      </c>
      <c r="O145" s="19">
        <f>IF(N145&gt;=Parametros!$B$10,1,0)</f>
        <v/>
      </c>
      <c r="P145" s="22" t="n"/>
      <c r="Q145" s="42">
        <f>Parametros!$B$11*H145+(1-Parametros!$B$11)*O145</f>
        <v/>
      </c>
    </row>
    <row r="146" ht="17" customHeight="1">
      <c r="A146" s="36" t="n">
        <v>141</v>
      </c>
      <c r="B146" s="37">
        <f>Datos!$B$144</f>
        <v/>
      </c>
      <c r="C146" s="38">
        <f>Parametros!$B$4*G145</f>
        <v/>
      </c>
      <c r="D146" s="38">
        <f>Parametros!$B$6*N145</f>
        <v/>
      </c>
      <c r="E146" s="38">
        <f>(1-Parametros!$B$4)*B146</f>
        <v/>
      </c>
      <c r="F146" s="38">
        <f>-Parametros!$B$8*H145</f>
        <v/>
      </c>
      <c r="G146" s="39">
        <f>C146+D146+E146+F146</f>
        <v/>
      </c>
      <c r="H146" s="19">
        <f>IF(G146&gt;=Parametros!$B$10,1,0)</f>
        <v/>
      </c>
      <c r="I146" s="22" t="n"/>
      <c r="J146" s="40">
        <f>Parametros!$B$5*N145</f>
        <v/>
      </c>
      <c r="K146" s="40">
        <f>Parametros!$B$7*G146</f>
        <v/>
      </c>
      <c r="L146" s="40">
        <f>(1-Parametros!$B$5)*B146</f>
        <v/>
      </c>
      <c r="M146" s="40">
        <f>-Parametros!$B$9*O145</f>
        <v/>
      </c>
      <c r="N146" s="41">
        <f>J146+K146+L146+M146</f>
        <v/>
      </c>
      <c r="O146" s="19">
        <f>IF(N146&gt;=Parametros!$B$10,1,0)</f>
        <v/>
      </c>
      <c r="P146" s="22" t="n"/>
      <c r="Q146" s="42">
        <f>Parametros!$B$11*H146+(1-Parametros!$B$11)*O146</f>
        <v/>
      </c>
    </row>
    <row r="147" ht="17" customHeight="1">
      <c r="A147" s="36" t="n">
        <v>142</v>
      </c>
      <c r="B147" s="37">
        <f>Datos!$B$145</f>
        <v/>
      </c>
      <c r="C147" s="38">
        <f>Parametros!$B$4*G146</f>
        <v/>
      </c>
      <c r="D147" s="38">
        <f>Parametros!$B$6*N146</f>
        <v/>
      </c>
      <c r="E147" s="38">
        <f>(1-Parametros!$B$4)*B147</f>
        <v/>
      </c>
      <c r="F147" s="38">
        <f>-Parametros!$B$8*H146</f>
        <v/>
      </c>
      <c r="G147" s="39">
        <f>C147+D147+E147+F147</f>
        <v/>
      </c>
      <c r="H147" s="19">
        <f>IF(G147&gt;=Parametros!$B$10,1,0)</f>
        <v/>
      </c>
      <c r="I147" s="22" t="n"/>
      <c r="J147" s="40">
        <f>Parametros!$B$5*N146</f>
        <v/>
      </c>
      <c r="K147" s="40">
        <f>Parametros!$B$7*G147</f>
        <v/>
      </c>
      <c r="L147" s="40">
        <f>(1-Parametros!$B$5)*B147</f>
        <v/>
      </c>
      <c r="M147" s="40">
        <f>-Parametros!$B$9*O146</f>
        <v/>
      </c>
      <c r="N147" s="41">
        <f>J147+K147+L147+M147</f>
        <v/>
      </c>
      <c r="O147" s="19">
        <f>IF(N147&gt;=Parametros!$B$10,1,0)</f>
        <v/>
      </c>
      <c r="P147" s="22" t="n"/>
      <c r="Q147" s="42">
        <f>Parametros!$B$11*H147+(1-Parametros!$B$11)*O147</f>
        <v/>
      </c>
    </row>
    <row r="148" ht="17" customHeight="1">
      <c r="A148" s="36" t="n">
        <v>143</v>
      </c>
      <c r="B148" s="37">
        <f>Datos!$B$146</f>
        <v/>
      </c>
      <c r="C148" s="38">
        <f>Parametros!$B$4*G147</f>
        <v/>
      </c>
      <c r="D148" s="38">
        <f>Parametros!$B$6*N147</f>
        <v/>
      </c>
      <c r="E148" s="38">
        <f>(1-Parametros!$B$4)*B148</f>
        <v/>
      </c>
      <c r="F148" s="38">
        <f>-Parametros!$B$8*H147</f>
        <v/>
      </c>
      <c r="G148" s="39">
        <f>C148+D148+E148+F148</f>
        <v/>
      </c>
      <c r="H148" s="19">
        <f>IF(G148&gt;=Parametros!$B$10,1,0)</f>
        <v/>
      </c>
      <c r="I148" s="22" t="n"/>
      <c r="J148" s="40">
        <f>Parametros!$B$5*N147</f>
        <v/>
      </c>
      <c r="K148" s="40">
        <f>Parametros!$B$7*G148</f>
        <v/>
      </c>
      <c r="L148" s="40">
        <f>(1-Parametros!$B$5)*B148</f>
        <v/>
      </c>
      <c r="M148" s="40">
        <f>-Parametros!$B$9*O147</f>
        <v/>
      </c>
      <c r="N148" s="41">
        <f>J148+K148+L148+M148</f>
        <v/>
      </c>
      <c r="O148" s="19">
        <f>IF(N148&gt;=Parametros!$B$10,1,0)</f>
        <v/>
      </c>
      <c r="P148" s="22" t="n"/>
      <c r="Q148" s="42">
        <f>Parametros!$B$11*H148+(1-Parametros!$B$11)*O148</f>
        <v/>
      </c>
    </row>
    <row r="149" ht="17" customHeight="1">
      <c r="A149" s="36" t="n">
        <v>144</v>
      </c>
      <c r="B149" s="37">
        <f>Datos!$B$147</f>
        <v/>
      </c>
      <c r="C149" s="38">
        <f>Parametros!$B$4*G148</f>
        <v/>
      </c>
      <c r="D149" s="38">
        <f>Parametros!$B$6*N148</f>
        <v/>
      </c>
      <c r="E149" s="38">
        <f>(1-Parametros!$B$4)*B149</f>
        <v/>
      </c>
      <c r="F149" s="38">
        <f>-Parametros!$B$8*H148</f>
        <v/>
      </c>
      <c r="G149" s="39">
        <f>C149+D149+E149+F149</f>
        <v/>
      </c>
      <c r="H149" s="19">
        <f>IF(G149&gt;=Parametros!$B$10,1,0)</f>
        <v/>
      </c>
      <c r="I149" s="22" t="n"/>
      <c r="J149" s="40">
        <f>Parametros!$B$5*N148</f>
        <v/>
      </c>
      <c r="K149" s="40">
        <f>Parametros!$B$7*G149</f>
        <v/>
      </c>
      <c r="L149" s="40">
        <f>(1-Parametros!$B$5)*B149</f>
        <v/>
      </c>
      <c r="M149" s="40">
        <f>-Parametros!$B$9*O148</f>
        <v/>
      </c>
      <c r="N149" s="41">
        <f>J149+K149+L149+M149</f>
        <v/>
      </c>
      <c r="O149" s="19">
        <f>IF(N149&gt;=Parametros!$B$10,1,0)</f>
        <v/>
      </c>
      <c r="P149" s="22" t="n"/>
      <c r="Q149" s="42">
        <f>Parametros!$B$11*H149+(1-Parametros!$B$11)*O149</f>
        <v/>
      </c>
    </row>
    <row r="150" ht="17" customHeight="1">
      <c r="A150" s="36" t="n">
        <v>145</v>
      </c>
      <c r="B150" s="37">
        <f>Datos!$B$148</f>
        <v/>
      </c>
      <c r="C150" s="38">
        <f>Parametros!$B$4*G149</f>
        <v/>
      </c>
      <c r="D150" s="38">
        <f>Parametros!$B$6*N149</f>
        <v/>
      </c>
      <c r="E150" s="38">
        <f>(1-Parametros!$B$4)*B150</f>
        <v/>
      </c>
      <c r="F150" s="38">
        <f>-Parametros!$B$8*H149</f>
        <v/>
      </c>
      <c r="G150" s="39">
        <f>C150+D150+E150+F150</f>
        <v/>
      </c>
      <c r="H150" s="19">
        <f>IF(G150&gt;=Parametros!$B$10,1,0)</f>
        <v/>
      </c>
      <c r="I150" s="22" t="n"/>
      <c r="J150" s="40">
        <f>Parametros!$B$5*N149</f>
        <v/>
      </c>
      <c r="K150" s="40">
        <f>Parametros!$B$7*G150</f>
        <v/>
      </c>
      <c r="L150" s="40">
        <f>(1-Parametros!$B$5)*B150</f>
        <v/>
      </c>
      <c r="M150" s="40">
        <f>-Parametros!$B$9*O149</f>
        <v/>
      </c>
      <c r="N150" s="41">
        <f>J150+K150+L150+M150</f>
        <v/>
      </c>
      <c r="O150" s="19">
        <f>IF(N150&gt;=Parametros!$B$10,1,0)</f>
        <v/>
      </c>
      <c r="P150" s="22" t="n"/>
      <c r="Q150" s="42">
        <f>Parametros!$B$11*H150+(1-Parametros!$B$11)*O150</f>
        <v/>
      </c>
    </row>
    <row r="151" ht="17" customHeight="1">
      <c r="A151" s="36" t="n">
        <v>146</v>
      </c>
      <c r="B151" s="37">
        <f>Datos!$B$149</f>
        <v/>
      </c>
      <c r="C151" s="38">
        <f>Parametros!$B$4*G150</f>
        <v/>
      </c>
      <c r="D151" s="38">
        <f>Parametros!$B$6*N150</f>
        <v/>
      </c>
      <c r="E151" s="38">
        <f>(1-Parametros!$B$4)*B151</f>
        <v/>
      </c>
      <c r="F151" s="38">
        <f>-Parametros!$B$8*H150</f>
        <v/>
      </c>
      <c r="G151" s="39">
        <f>C151+D151+E151+F151</f>
        <v/>
      </c>
      <c r="H151" s="19">
        <f>IF(G151&gt;=Parametros!$B$10,1,0)</f>
        <v/>
      </c>
      <c r="I151" s="22" t="n"/>
      <c r="J151" s="40">
        <f>Parametros!$B$5*N150</f>
        <v/>
      </c>
      <c r="K151" s="40">
        <f>Parametros!$B$7*G151</f>
        <v/>
      </c>
      <c r="L151" s="40">
        <f>(1-Parametros!$B$5)*B151</f>
        <v/>
      </c>
      <c r="M151" s="40">
        <f>-Parametros!$B$9*O150</f>
        <v/>
      </c>
      <c r="N151" s="41">
        <f>J151+K151+L151+M151</f>
        <v/>
      </c>
      <c r="O151" s="19">
        <f>IF(N151&gt;=Parametros!$B$10,1,0)</f>
        <v/>
      </c>
      <c r="P151" s="22" t="n"/>
      <c r="Q151" s="42">
        <f>Parametros!$B$11*H151+(1-Parametros!$B$11)*O151</f>
        <v/>
      </c>
    </row>
    <row r="152" ht="17" customHeight="1">
      <c r="A152" s="36" t="n">
        <v>147</v>
      </c>
      <c r="B152" s="37">
        <f>Datos!$B$150</f>
        <v/>
      </c>
      <c r="C152" s="38">
        <f>Parametros!$B$4*G151</f>
        <v/>
      </c>
      <c r="D152" s="38">
        <f>Parametros!$B$6*N151</f>
        <v/>
      </c>
      <c r="E152" s="38">
        <f>(1-Parametros!$B$4)*B152</f>
        <v/>
      </c>
      <c r="F152" s="38">
        <f>-Parametros!$B$8*H151</f>
        <v/>
      </c>
      <c r="G152" s="39">
        <f>C152+D152+E152+F152</f>
        <v/>
      </c>
      <c r="H152" s="19">
        <f>IF(G152&gt;=Parametros!$B$10,1,0)</f>
        <v/>
      </c>
      <c r="I152" s="22" t="n"/>
      <c r="J152" s="40">
        <f>Parametros!$B$5*N151</f>
        <v/>
      </c>
      <c r="K152" s="40">
        <f>Parametros!$B$7*G152</f>
        <v/>
      </c>
      <c r="L152" s="40">
        <f>(1-Parametros!$B$5)*B152</f>
        <v/>
      </c>
      <c r="M152" s="40">
        <f>-Parametros!$B$9*O151</f>
        <v/>
      </c>
      <c r="N152" s="41">
        <f>J152+K152+L152+M152</f>
        <v/>
      </c>
      <c r="O152" s="19">
        <f>IF(N152&gt;=Parametros!$B$10,1,0)</f>
        <v/>
      </c>
      <c r="P152" s="22" t="n"/>
      <c r="Q152" s="42">
        <f>Parametros!$B$11*H152+(1-Parametros!$B$11)*O152</f>
        <v/>
      </c>
    </row>
    <row r="153" ht="17" customHeight="1">
      <c r="A153" s="36" t="n">
        <v>148</v>
      </c>
      <c r="B153" s="37">
        <f>Datos!$B$151</f>
        <v/>
      </c>
      <c r="C153" s="38">
        <f>Parametros!$B$4*G152</f>
        <v/>
      </c>
      <c r="D153" s="38">
        <f>Parametros!$B$6*N152</f>
        <v/>
      </c>
      <c r="E153" s="38">
        <f>(1-Parametros!$B$4)*B153</f>
        <v/>
      </c>
      <c r="F153" s="38">
        <f>-Parametros!$B$8*H152</f>
        <v/>
      </c>
      <c r="G153" s="39">
        <f>C153+D153+E153+F153</f>
        <v/>
      </c>
      <c r="H153" s="19">
        <f>IF(G153&gt;=Parametros!$B$10,1,0)</f>
        <v/>
      </c>
      <c r="I153" s="22" t="n"/>
      <c r="J153" s="40">
        <f>Parametros!$B$5*N152</f>
        <v/>
      </c>
      <c r="K153" s="40">
        <f>Parametros!$B$7*G153</f>
        <v/>
      </c>
      <c r="L153" s="40">
        <f>(1-Parametros!$B$5)*B153</f>
        <v/>
      </c>
      <c r="M153" s="40">
        <f>-Parametros!$B$9*O152</f>
        <v/>
      </c>
      <c r="N153" s="41">
        <f>J153+K153+L153+M153</f>
        <v/>
      </c>
      <c r="O153" s="19">
        <f>IF(N153&gt;=Parametros!$B$10,1,0)</f>
        <v/>
      </c>
      <c r="P153" s="22" t="n"/>
      <c r="Q153" s="42">
        <f>Parametros!$B$11*H153+(1-Parametros!$B$11)*O153</f>
        <v/>
      </c>
    </row>
    <row r="154" ht="17" customHeight="1">
      <c r="A154" s="36" t="n">
        <v>149</v>
      </c>
      <c r="B154" s="37">
        <f>Datos!$B$152</f>
        <v/>
      </c>
      <c r="C154" s="38">
        <f>Parametros!$B$4*G153</f>
        <v/>
      </c>
      <c r="D154" s="38">
        <f>Parametros!$B$6*N153</f>
        <v/>
      </c>
      <c r="E154" s="38">
        <f>(1-Parametros!$B$4)*B154</f>
        <v/>
      </c>
      <c r="F154" s="38">
        <f>-Parametros!$B$8*H153</f>
        <v/>
      </c>
      <c r="G154" s="39">
        <f>C154+D154+E154+F154</f>
        <v/>
      </c>
      <c r="H154" s="19">
        <f>IF(G154&gt;=Parametros!$B$10,1,0)</f>
        <v/>
      </c>
      <c r="I154" s="22" t="n"/>
      <c r="J154" s="40">
        <f>Parametros!$B$5*N153</f>
        <v/>
      </c>
      <c r="K154" s="40">
        <f>Parametros!$B$7*G154</f>
        <v/>
      </c>
      <c r="L154" s="40">
        <f>(1-Parametros!$B$5)*B154</f>
        <v/>
      </c>
      <c r="M154" s="40">
        <f>-Parametros!$B$9*O153</f>
        <v/>
      </c>
      <c r="N154" s="41">
        <f>J154+K154+L154+M154</f>
        <v/>
      </c>
      <c r="O154" s="19">
        <f>IF(N154&gt;=Parametros!$B$10,1,0)</f>
        <v/>
      </c>
      <c r="P154" s="22" t="n"/>
      <c r="Q154" s="42">
        <f>Parametros!$B$11*H154+(1-Parametros!$B$11)*O154</f>
        <v/>
      </c>
    </row>
    <row r="155" ht="17" customHeight="1">
      <c r="A155" s="36" t="n">
        <v>150</v>
      </c>
      <c r="B155" s="37">
        <f>Datos!$B$153</f>
        <v/>
      </c>
      <c r="C155" s="38">
        <f>Parametros!$B$4*G154</f>
        <v/>
      </c>
      <c r="D155" s="38">
        <f>Parametros!$B$6*N154</f>
        <v/>
      </c>
      <c r="E155" s="38">
        <f>(1-Parametros!$B$4)*B155</f>
        <v/>
      </c>
      <c r="F155" s="38">
        <f>-Parametros!$B$8*H154</f>
        <v/>
      </c>
      <c r="G155" s="39">
        <f>C155+D155+E155+F155</f>
        <v/>
      </c>
      <c r="H155" s="19">
        <f>IF(G155&gt;=Parametros!$B$10,1,0)</f>
        <v/>
      </c>
      <c r="I155" s="22" t="n"/>
      <c r="J155" s="40">
        <f>Parametros!$B$5*N154</f>
        <v/>
      </c>
      <c r="K155" s="40">
        <f>Parametros!$B$7*G155</f>
        <v/>
      </c>
      <c r="L155" s="40">
        <f>(1-Parametros!$B$5)*B155</f>
        <v/>
      </c>
      <c r="M155" s="40">
        <f>-Parametros!$B$9*O154</f>
        <v/>
      </c>
      <c r="N155" s="41">
        <f>J155+K155+L155+M155</f>
        <v/>
      </c>
      <c r="O155" s="19">
        <f>IF(N155&gt;=Parametros!$B$10,1,0)</f>
        <v/>
      </c>
      <c r="P155" s="22" t="n"/>
      <c r="Q155" s="42">
        <f>Parametros!$B$11*H155+(1-Parametros!$B$11)*O155</f>
        <v/>
      </c>
    </row>
    <row r="156" ht="17" customHeight="1">
      <c r="A156" s="36" t="n">
        <v>151</v>
      </c>
      <c r="B156" s="37">
        <f>Datos!$B$154</f>
        <v/>
      </c>
      <c r="C156" s="38">
        <f>Parametros!$B$4*G155</f>
        <v/>
      </c>
      <c r="D156" s="38">
        <f>Parametros!$B$6*N155</f>
        <v/>
      </c>
      <c r="E156" s="38">
        <f>(1-Parametros!$B$4)*B156</f>
        <v/>
      </c>
      <c r="F156" s="38">
        <f>-Parametros!$B$8*H155</f>
        <v/>
      </c>
      <c r="G156" s="39">
        <f>C156+D156+E156+F156</f>
        <v/>
      </c>
      <c r="H156" s="19">
        <f>IF(G156&gt;=Parametros!$B$10,1,0)</f>
        <v/>
      </c>
      <c r="I156" s="22" t="n"/>
      <c r="J156" s="40">
        <f>Parametros!$B$5*N155</f>
        <v/>
      </c>
      <c r="K156" s="40">
        <f>Parametros!$B$7*G156</f>
        <v/>
      </c>
      <c r="L156" s="40">
        <f>(1-Parametros!$B$5)*B156</f>
        <v/>
      </c>
      <c r="M156" s="40">
        <f>-Parametros!$B$9*O155</f>
        <v/>
      </c>
      <c r="N156" s="41">
        <f>J156+K156+L156+M156</f>
        <v/>
      </c>
      <c r="O156" s="19">
        <f>IF(N156&gt;=Parametros!$B$10,1,0)</f>
        <v/>
      </c>
      <c r="P156" s="22" t="n"/>
      <c r="Q156" s="42">
        <f>Parametros!$B$11*H156+(1-Parametros!$B$11)*O156</f>
        <v/>
      </c>
    </row>
    <row r="157" ht="17" customHeight="1">
      <c r="A157" s="36" t="n">
        <v>152</v>
      </c>
      <c r="B157" s="37">
        <f>Datos!$B$155</f>
        <v/>
      </c>
      <c r="C157" s="38">
        <f>Parametros!$B$4*G156</f>
        <v/>
      </c>
      <c r="D157" s="38">
        <f>Parametros!$B$6*N156</f>
        <v/>
      </c>
      <c r="E157" s="38">
        <f>(1-Parametros!$B$4)*B157</f>
        <v/>
      </c>
      <c r="F157" s="38">
        <f>-Parametros!$B$8*H156</f>
        <v/>
      </c>
      <c r="G157" s="39">
        <f>C157+D157+E157+F157</f>
        <v/>
      </c>
      <c r="H157" s="19">
        <f>IF(G157&gt;=Parametros!$B$10,1,0)</f>
        <v/>
      </c>
      <c r="I157" s="22" t="n"/>
      <c r="J157" s="40">
        <f>Parametros!$B$5*N156</f>
        <v/>
      </c>
      <c r="K157" s="40">
        <f>Parametros!$B$7*G157</f>
        <v/>
      </c>
      <c r="L157" s="40">
        <f>(1-Parametros!$B$5)*B157</f>
        <v/>
      </c>
      <c r="M157" s="40">
        <f>-Parametros!$B$9*O156</f>
        <v/>
      </c>
      <c r="N157" s="41">
        <f>J157+K157+L157+M157</f>
        <v/>
      </c>
      <c r="O157" s="19">
        <f>IF(N157&gt;=Parametros!$B$10,1,0)</f>
        <v/>
      </c>
      <c r="P157" s="22" t="n"/>
      <c r="Q157" s="42">
        <f>Parametros!$B$11*H157+(1-Parametros!$B$11)*O157</f>
        <v/>
      </c>
    </row>
    <row r="158" ht="17" customHeight="1">
      <c r="A158" s="36" t="n">
        <v>153</v>
      </c>
      <c r="B158" s="37">
        <f>Datos!$B$156</f>
        <v/>
      </c>
      <c r="C158" s="38">
        <f>Parametros!$B$4*G157</f>
        <v/>
      </c>
      <c r="D158" s="38">
        <f>Parametros!$B$6*N157</f>
        <v/>
      </c>
      <c r="E158" s="38">
        <f>(1-Parametros!$B$4)*B158</f>
        <v/>
      </c>
      <c r="F158" s="38">
        <f>-Parametros!$B$8*H157</f>
        <v/>
      </c>
      <c r="G158" s="39">
        <f>C158+D158+E158+F158</f>
        <v/>
      </c>
      <c r="H158" s="19">
        <f>IF(G158&gt;=Parametros!$B$10,1,0)</f>
        <v/>
      </c>
      <c r="I158" s="22" t="n"/>
      <c r="J158" s="40">
        <f>Parametros!$B$5*N157</f>
        <v/>
      </c>
      <c r="K158" s="40">
        <f>Parametros!$B$7*G158</f>
        <v/>
      </c>
      <c r="L158" s="40">
        <f>(1-Parametros!$B$5)*B158</f>
        <v/>
      </c>
      <c r="M158" s="40">
        <f>-Parametros!$B$9*O157</f>
        <v/>
      </c>
      <c r="N158" s="41">
        <f>J158+K158+L158+M158</f>
        <v/>
      </c>
      <c r="O158" s="19">
        <f>IF(N158&gt;=Parametros!$B$10,1,0)</f>
        <v/>
      </c>
      <c r="P158" s="22" t="n"/>
      <c r="Q158" s="42">
        <f>Parametros!$B$11*H158+(1-Parametros!$B$11)*O158</f>
        <v/>
      </c>
    </row>
    <row r="159" ht="17" customHeight="1">
      <c r="A159" s="36" t="n">
        <v>154</v>
      </c>
      <c r="B159" s="37">
        <f>Datos!$B$157</f>
        <v/>
      </c>
      <c r="C159" s="38">
        <f>Parametros!$B$4*G158</f>
        <v/>
      </c>
      <c r="D159" s="38">
        <f>Parametros!$B$6*N158</f>
        <v/>
      </c>
      <c r="E159" s="38">
        <f>(1-Parametros!$B$4)*B159</f>
        <v/>
      </c>
      <c r="F159" s="38">
        <f>-Parametros!$B$8*H158</f>
        <v/>
      </c>
      <c r="G159" s="39">
        <f>C159+D159+E159+F159</f>
        <v/>
      </c>
      <c r="H159" s="19">
        <f>IF(G159&gt;=Parametros!$B$10,1,0)</f>
        <v/>
      </c>
      <c r="I159" s="22" t="n"/>
      <c r="J159" s="40">
        <f>Parametros!$B$5*N158</f>
        <v/>
      </c>
      <c r="K159" s="40">
        <f>Parametros!$B$7*G159</f>
        <v/>
      </c>
      <c r="L159" s="40">
        <f>(1-Parametros!$B$5)*B159</f>
        <v/>
      </c>
      <c r="M159" s="40">
        <f>-Parametros!$B$9*O158</f>
        <v/>
      </c>
      <c r="N159" s="41">
        <f>J159+K159+L159+M159</f>
        <v/>
      </c>
      <c r="O159" s="19">
        <f>IF(N159&gt;=Parametros!$B$10,1,0)</f>
        <v/>
      </c>
      <c r="P159" s="22" t="n"/>
      <c r="Q159" s="42">
        <f>Parametros!$B$11*H159+(1-Parametros!$B$11)*O159</f>
        <v/>
      </c>
    </row>
    <row r="160" ht="17" customHeight="1">
      <c r="A160" s="36" t="n">
        <v>155</v>
      </c>
      <c r="B160" s="37">
        <f>Datos!$B$158</f>
        <v/>
      </c>
      <c r="C160" s="38">
        <f>Parametros!$B$4*G159</f>
        <v/>
      </c>
      <c r="D160" s="38">
        <f>Parametros!$B$6*N159</f>
        <v/>
      </c>
      <c r="E160" s="38">
        <f>(1-Parametros!$B$4)*B160</f>
        <v/>
      </c>
      <c r="F160" s="38">
        <f>-Parametros!$B$8*H159</f>
        <v/>
      </c>
      <c r="G160" s="39">
        <f>C160+D160+E160+F160</f>
        <v/>
      </c>
      <c r="H160" s="19">
        <f>IF(G160&gt;=Parametros!$B$10,1,0)</f>
        <v/>
      </c>
      <c r="I160" s="22" t="n"/>
      <c r="J160" s="40">
        <f>Parametros!$B$5*N159</f>
        <v/>
      </c>
      <c r="K160" s="40">
        <f>Parametros!$B$7*G160</f>
        <v/>
      </c>
      <c r="L160" s="40">
        <f>(1-Parametros!$B$5)*B160</f>
        <v/>
      </c>
      <c r="M160" s="40">
        <f>-Parametros!$B$9*O159</f>
        <v/>
      </c>
      <c r="N160" s="41">
        <f>J160+K160+L160+M160</f>
        <v/>
      </c>
      <c r="O160" s="19">
        <f>IF(N160&gt;=Parametros!$B$10,1,0)</f>
        <v/>
      </c>
      <c r="P160" s="22" t="n"/>
      <c r="Q160" s="42">
        <f>Parametros!$B$11*H160+(1-Parametros!$B$11)*O160</f>
        <v/>
      </c>
    </row>
    <row r="161" ht="17" customHeight="1">
      <c r="A161" s="36" t="n">
        <v>156</v>
      </c>
      <c r="B161" s="37">
        <f>Datos!$B$159</f>
        <v/>
      </c>
      <c r="C161" s="38">
        <f>Parametros!$B$4*G160</f>
        <v/>
      </c>
      <c r="D161" s="38">
        <f>Parametros!$B$6*N160</f>
        <v/>
      </c>
      <c r="E161" s="38">
        <f>(1-Parametros!$B$4)*B161</f>
        <v/>
      </c>
      <c r="F161" s="38">
        <f>-Parametros!$B$8*H160</f>
        <v/>
      </c>
      <c r="G161" s="39">
        <f>C161+D161+E161+F161</f>
        <v/>
      </c>
      <c r="H161" s="19">
        <f>IF(G161&gt;=Parametros!$B$10,1,0)</f>
        <v/>
      </c>
      <c r="I161" s="22" t="n"/>
      <c r="J161" s="40">
        <f>Parametros!$B$5*N160</f>
        <v/>
      </c>
      <c r="K161" s="40">
        <f>Parametros!$B$7*G161</f>
        <v/>
      </c>
      <c r="L161" s="40">
        <f>(1-Parametros!$B$5)*B161</f>
        <v/>
      </c>
      <c r="M161" s="40">
        <f>-Parametros!$B$9*O160</f>
        <v/>
      </c>
      <c r="N161" s="41">
        <f>J161+K161+L161+M161</f>
        <v/>
      </c>
      <c r="O161" s="19">
        <f>IF(N161&gt;=Parametros!$B$10,1,0)</f>
        <v/>
      </c>
      <c r="P161" s="22" t="n"/>
      <c r="Q161" s="42">
        <f>Parametros!$B$11*H161+(1-Parametros!$B$11)*O161</f>
        <v/>
      </c>
    </row>
    <row r="162" ht="17" customHeight="1">
      <c r="A162" s="36" t="n">
        <v>157</v>
      </c>
      <c r="B162" s="37">
        <f>Datos!$B$160</f>
        <v/>
      </c>
      <c r="C162" s="38">
        <f>Parametros!$B$4*G161</f>
        <v/>
      </c>
      <c r="D162" s="38">
        <f>Parametros!$B$6*N161</f>
        <v/>
      </c>
      <c r="E162" s="38">
        <f>(1-Parametros!$B$4)*B162</f>
        <v/>
      </c>
      <c r="F162" s="38">
        <f>-Parametros!$B$8*H161</f>
        <v/>
      </c>
      <c r="G162" s="39">
        <f>C162+D162+E162+F162</f>
        <v/>
      </c>
      <c r="H162" s="19">
        <f>IF(G162&gt;=Parametros!$B$10,1,0)</f>
        <v/>
      </c>
      <c r="I162" s="22" t="n"/>
      <c r="J162" s="40">
        <f>Parametros!$B$5*N161</f>
        <v/>
      </c>
      <c r="K162" s="40">
        <f>Parametros!$B$7*G162</f>
        <v/>
      </c>
      <c r="L162" s="40">
        <f>(1-Parametros!$B$5)*B162</f>
        <v/>
      </c>
      <c r="M162" s="40">
        <f>-Parametros!$B$9*O161</f>
        <v/>
      </c>
      <c r="N162" s="41">
        <f>J162+K162+L162+M162</f>
        <v/>
      </c>
      <c r="O162" s="19">
        <f>IF(N162&gt;=Parametros!$B$10,1,0)</f>
        <v/>
      </c>
      <c r="P162" s="22" t="n"/>
      <c r="Q162" s="42">
        <f>Parametros!$B$11*H162+(1-Parametros!$B$11)*O162</f>
        <v/>
      </c>
    </row>
    <row r="163" ht="17" customHeight="1">
      <c r="A163" s="36" t="n">
        <v>158</v>
      </c>
      <c r="B163" s="37">
        <f>Datos!$B$161</f>
        <v/>
      </c>
      <c r="C163" s="38">
        <f>Parametros!$B$4*G162</f>
        <v/>
      </c>
      <c r="D163" s="38">
        <f>Parametros!$B$6*N162</f>
        <v/>
      </c>
      <c r="E163" s="38">
        <f>(1-Parametros!$B$4)*B163</f>
        <v/>
      </c>
      <c r="F163" s="38">
        <f>-Parametros!$B$8*H162</f>
        <v/>
      </c>
      <c r="G163" s="39">
        <f>C163+D163+E163+F163</f>
        <v/>
      </c>
      <c r="H163" s="19">
        <f>IF(G163&gt;=Parametros!$B$10,1,0)</f>
        <v/>
      </c>
      <c r="I163" s="22" t="n"/>
      <c r="J163" s="40">
        <f>Parametros!$B$5*N162</f>
        <v/>
      </c>
      <c r="K163" s="40">
        <f>Parametros!$B$7*G163</f>
        <v/>
      </c>
      <c r="L163" s="40">
        <f>(1-Parametros!$B$5)*B163</f>
        <v/>
      </c>
      <c r="M163" s="40">
        <f>-Parametros!$B$9*O162</f>
        <v/>
      </c>
      <c r="N163" s="41">
        <f>J163+K163+L163+M163</f>
        <v/>
      </c>
      <c r="O163" s="19">
        <f>IF(N163&gt;=Parametros!$B$10,1,0)</f>
        <v/>
      </c>
      <c r="P163" s="22" t="n"/>
      <c r="Q163" s="42">
        <f>Parametros!$B$11*H163+(1-Parametros!$B$11)*O163</f>
        <v/>
      </c>
    </row>
    <row r="164" ht="17" customHeight="1">
      <c r="A164" s="36" t="n">
        <v>159</v>
      </c>
      <c r="B164" s="37">
        <f>Datos!$B$162</f>
        <v/>
      </c>
      <c r="C164" s="38">
        <f>Parametros!$B$4*G163</f>
        <v/>
      </c>
      <c r="D164" s="38">
        <f>Parametros!$B$6*N163</f>
        <v/>
      </c>
      <c r="E164" s="38">
        <f>(1-Parametros!$B$4)*B164</f>
        <v/>
      </c>
      <c r="F164" s="38">
        <f>-Parametros!$B$8*H163</f>
        <v/>
      </c>
      <c r="G164" s="39">
        <f>C164+D164+E164+F164</f>
        <v/>
      </c>
      <c r="H164" s="19">
        <f>IF(G164&gt;=Parametros!$B$10,1,0)</f>
        <v/>
      </c>
      <c r="I164" s="22" t="n"/>
      <c r="J164" s="40">
        <f>Parametros!$B$5*N163</f>
        <v/>
      </c>
      <c r="K164" s="40">
        <f>Parametros!$B$7*G164</f>
        <v/>
      </c>
      <c r="L164" s="40">
        <f>(1-Parametros!$B$5)*B164</f>
        <v/>
      </c>
      <c r="M164" s="40">
        <f>-Parametros!$B$9*O163</f>
        <v/>
      </c>
      <c r="N164" s="41">
        <f>J164+K164+L164+M164</f>
        <v/>
      </c>
      <c r="O164" s="19">
        <f>IF(N164&gt;=Parametros!$B$10,1,0)</f>
        <v/>
      </c>
      <c r="P164" s="22" t="n"/>
      <c r="Q164" s="42">
        <f>Parametros!$B$11*H164+(1-Parametros!$B$11)*O164</f>
        <v/>
      </c>
    </row>
    <row r="165" ht="17" customHeight="1">
      <c r="A165" s="36" t="n">
        <v>160</v>
      </c>
      <c r="B165" s="37">
        <f>Datos!$B$163</f>
        <v/>
      </c>
      <c r="C165" s="38">
        <f>Parametros!$B$4*G164</f>
        <v/>
      </c>
      <c r="D165" s="38">
        <f>Parametros!$B$6*N164</f>
        <v/>
      </c>
      <c r="E165" s="38">
        <f>(1-Parametros!$B$4)*B165</f>
        <v/>
      </c>
      <c r="F165" s="38">
        <f>-Parametros!$B$8*H164</f>
        <v/>
      </c>
      <c r="G165" s="39">
        <f>C165+D165+E165+F165</f>
        <v/>
      </c>
      <c r="H165" s="19">
        <f>IF(G165&gt;=Parametros!$B$10,1,0)</f>
        <v/>
      </c>
      <c r="I165" s="22" t="n"/>
      <c r="J165" s="40">
        <f>Parametros!$B$5*N164</f>
        <v/>
      </c>
      <c r="K165" s="40">
        <f>Parametros!$B$7*G165</f>
        <v/>
      </c>
      <c r="L165" s="40">
        <f>(1-Parametros!$B$5)*B165</f>
        <v/>
      </c>
      <c r="M165" s="40">
        <f>-Parametros!$B$9*O164</f>
        <v/>
      </c>
      <c r="N165" s="41">
        <f>J165+K165+L165+M165</f>
        <v/>
      </c>
      <c r="O165" s="19">
        <f>IF(N165&gt;=Parametros!$B$10,1,0)</f>
        <v/>
      </c>
      <c r="P165" s="22" t="n"/>
      <c r="Q165" s="42">
        <f>Parametros!$B$11*H165+(1-Parametros!$B$11)*O165</f>
        <v/>
      </c>
    </row>
    <row r="166" ht="17" customHeight="1">
      <c r="A166" s="36" t="n">
        <v>161</v>
      </c>
      <c r="B166" s="37">
        <f>Datos!$B$164</f>
        <v/>
      </c>
      <c r="C166" s="38">
        <f>Parametros!$B$4*G165</f>
        <v/>
      </c>
      <c r="D166" s="38">
        <f>Parametros!$B$6*N165</f>
        <v/>
      </c>
      <c r="E166" s="38">
        <f>(1-Parametros!$B$4)*B166</f>
        <v/>
      </c>
      <c r="F166" s="38">
        <f>-Parametros!$B$8*H165</f>
        <v/>
      </c>
      <c r="G166" s="39">
        <f>C166+D166+E166+F166</f>
        <v/>
      </c>
      <c r="H166" s="19">
        <f>IF(G166&gt;=Parametros!$B$10,1,0)</f>
        <v/>
      </c>
      <c r="I166" s="22" t="n"/>
      <c r="J166" s="40">
        <f>Parametros!$B$5*N165</f>
        <v/>
      </c>
      <c r="K166" s="40">
        <f>Parametros!$B$7*G166</f>
        <v/>
      </c>
      <c r="L166" s="40">
        <f>(1-Parametros!$B$5)*B166</f>
        <v/>
      </c>
      <c r="M166" s="40">
        <f>-Parametros!$B$9*O165</f>
        <v/>
      </c>
      <c r="N166" s="41">
        <f>J166+K166+L166+M166</f>
        <v/>
      </c>
      <c r="O166" s="19">
        <f>IF(N166&gt;=Parametros!$B$10,1,0)</f>
        <v/>
      </c>
      <c r="P166" s="22" t="n"/>
      <c r="Q166" s="42">
        <f>Parametros!$B$11*H166+(1-Parametros!$B$11)*O166</f>
        <v/>
      </c>
    </row>
    <row r="167" ht="17" customHeight="1">
      <c r="A167" s="36" t="n">
        <v>162</v>
      </c>
      <c r="B167" s="37">
        <f>Datos!$B$165</f>
        <v/>
      </c>
      <c r="C167" s="38">
        <f>Parametros!$B$4*G166</f>
        <v/>
      </c>
      <c r="D167" s="38">
        <f>Parametros!$B$6*N166</f>
        <v/>
      </c>
      <c r="E167" s="38">
        <f>(1-Parametros!$B$4)*B167</f>
        <v/>
      </c>
      <c r="F167" s="38">
        <f>-Parametros!$B$8*H166</f>
        <v/>
      </c>
      <c r="G167" s="39">
        <f>C167+D167+E167+F167</f>
        <v/>
      </c>
      <c r="H167" s="19">
        <f>IF(G167&gt;=Parametros!$B$10,1,0)</f>
        <v/>
      </c>
      <c r="I167" s="22" t="n"/>
      <c r="J167" s="40">
        <f>Parametros!$B$5*N166</f>
        <v/>
      </c>
      <c r="K167" s="40">
        <f>Parametros!$B$7*G167</f>
        <v/>
      </c>
      <c r="L167" s="40">
        <f>(1-Parametros!$B$5)*B167</f>
        <v/>
      </c>
      <c r="M167" s="40">
        <f>-Parametros!$B$9*O166</f>
        <v/>
      </c>
      <c r="N167" s="41">
        <f>J167+K167+L167+M167</f>
        <v/>
      </c>
      <c r="O167" s="19">
        <f>IF(N167&gt;=Parametros!$B$10,1,0)</f>
        <v/>
      </c>
      <c r="P167" s="22" t="n"/>
      <c r="Q167" s="42">
        <f>Parametros!$B$11*H167+(1-Parametros!$B$11)*O167</f>
        <v/>
      </c>
    </row>
    <row r="168" ht="17" customHeight="1">
      <c r="A168" s="36" t="n">
        <v>163</v>
      </c>
      <c r="B168" s="37">
        <f>Datos!$B$166</f>
        <v/>
      </c>
      <c r="C168" s="38">
        <f>Parametros!$B$4*G167</f>
        <v/>
      </c>
      <c r="D168" s="38">
        <f>Parametros!$B$6*N167</f>
        <v/>
      </c>
      <c r="E168" s="38">
        <f>(1-Parametros!$B$4)*B168</f>
        <v/>
      </c>
      <c r="F168" s="38">
        <f>-Parametros!$B$8*H167</f>
        <v/>
      </c>
      <c r="G168" s="39">
        <f>C168+D168+E168+F168</f>
        <v/>
      </c>
      <c r="H168" s="19">
        <f>IF(G168&gt;=Parametros!$B$10,1,0)</f>
        <v/>
      </c>
      <c r="I168" s="22" t="n"/>
      <c r="J168" s="40">
        <f>Parametros!$B$5*N167</f>
        <v/>
      </c>
      <c r="K168" s="40">
        <f>Parametros!$B$7*G168</f>
        <v/>
      </c>
      <c r="L168" s="40">
        <f>(1-Parametros!$B$5)*B168</f>
        <v/>
      </c>
      <c r="M168" s="40">
        <f>-Parametros!$B$9*O167</f>
        <v/>
      </c>
      <c r="N168" s="41">
        <f>J168+K168+L168+M168</f>
        <v/>
      </c>
      <c r="O168" s="19">
        <f>IF(N168&gt;=Parametros!$B$10,1,0)</f>
        <v/>
      </c>
      <c r="P168" s="22" t="n"/>
      <c r="Q168" s="42">
        <f>Parametros!$B$11*H168+(1-Parametros!$B$11)*O168</f>
        <v/>
      </c>
    </row>
    <row r="169" ht="17" customHeight="1">
      <c r="A169" s="36" t="n">
        <v>164</v>
      </c>
      <c r="B169" s="37">
        <f>Datos!$B$167</f>
        <v/>
      </c>
      <c r="C169" s="38">
        <f>Parametros!$B$4*G168</f>
        <v/>
      </c>
      <c r="D169" s="38">
        <f>Parametros!$B$6*N168</f>
        <v/>
      </c>
      <c r="E169" s="38">
        <f>(1-Parametros!$B$4)*B169</f>
        <v/>
      </c>
      <c r="F169" s="38">
        <f>-Parametros!$B$8*H168</f>
        <v/>
      </c>
      <c r="G169" s="39">
        <f>C169+D169+E169+F169</f>
        <v/>
      </c>
      <c r="H169" s="19">
        <f>IF(G169&gt;=Parametros!$B$10,1,0)</f>
        <v/>
      </c>
      <c r="I169" s="22" t="n"/>
      <c r="J169" s="40">
        <f>Parametros!$B$5*N168</f>
        <v/>
      </c>
      <c r="K169" s="40">
        <f>Parametros!$B$7*G169</f>
        <v/>
      </c>
      <c r="L169" s="40">
        <f>(1-Parametros!$B$5)*B169</f>
        <v/>
      </c>
      <c r="M169" s="40">
        <f>-Parametros!$B$9*O168</f>
        <v/>
      </c>
      <c r="N169" s="41">
        <f>J169+K169+L169+M169</f>
        <v/>
      </c>
      <c r="O169" s="19">
        <f>IF(N169&gt;=Parametros!$B$10,1,0)</f>
        <v/>
      </c>
      <c r="P169" s="22" t="n"/>
      <c r="Q169" s="42">
        <f>Parametros!$B$11*H169+(1-Parametros!$B$11)*O169</f>
        <v/>
      </c>
    </row>
    <row r="170" ht="17" customHeight="1">
      <c r="A170" s="36" t="n">
        <v>165</v>
      </c>
      <c r="B170" s="37">
        <f>Datos!$B$168</f>
        <v/>
      </c>
      <c r="C170" s="38">
        <f>Parametros!$B$4*G169</f>
        <v/>
      </c>
      <c r="D170" s="38">
        <f>Parametros!$B$6*N169</f>
        <v/>
      </c>
      <c r="E170" s="38">
        <f>(1-Parametros!$B$4)*B170</f>
        <v/>
      </c>
      <c r="F170" s="38">
        <f>-Parametros!$B$8*H169</f>
        <v/>
      </c>
      <c r="G170" s="39">
        <f>C170+D170+E170+F170</f>
        <v/>
      </c>
      <c r="H170" s="19">
        <f>IF(G170&gt;=Parametros!$B$10,1,0)</f>
        <v/>
      </c>
      <c r="I170" s="22" t="n"/>
      <c r="J170" s="40">
        <f>Parametros!$B$5*N169</f>
        <v/>
      </c>
      <c r="K170" s="40">
        <f>Parametros!$B$7*G170</f>
        <v/>
      </c>
      <c r="L170" s="40">
        <f>(1-Parametros!$B$5)*B170</f>
        <v/>
      </c>
      <c r="M170" s="40">
        <f>-Parametros!$B$9*O169</f>
        <v/>
      </c>
      <c r="N170" s="41">
        <f>J170+K170+L170+M170</f>
        <v/>
      </c>
      <c r="O170" s="19">
        <f>IF(N170&gt;=Parametros!$B$10,1,0)</f>
        <v/>
      </c>
      <c r="P170" s="22" t="n"/>
      <c r="Q170" s="42">
        <f>Parametros!$B$11*H170+(1-Parametros!$B$11)*O170</f>
        <v/>
      </c>
    </row>
    <row r="171" ht="17" customHeight="1">
      <c r="A171" s="36" t="n">
        <v>166</v>
      </c>
      <c r="B171" s="37">
        <f>Datos!$B$169</f>
        <v/>
      </c>
      <c r="C171" s="38">
        <f>Parametros!$B$4*G170</f>
        <v/>
      </c>
      <c r="D171" s="38">
        <f>Parametros!$B$6*N170</f>
        <v/>
      </c>
      <c r="E171" s="38">
        <f>(1-Parametros!$B$4)*B171</f>
        <v/>
      </c>
      <c r="F171" s="38">
        <f>-Parametros!$B$8*H170</f>
        <v/>
      </c>
      <c r="G171" s="39">
        <f>C171+D171+E171+F171</f>
        <v/>
      </c>
      <c r="H171" s="19">
        <f>IF(G171&gt;=Parametros!$B$10,1,0)</f>
        <v/>
      </c>
      <c r="I171" s="22" t="n"/>
      <c r="J171" s="40">
        <f>Parametros!$B$5*N170</f>
        <v/>
      </c>
      <c r="K171" s="40">
        <f>Parametros!$B$7*G171</f>
        <v/>
      </c>
      <c r="L171" s="40">
        <f>(1-Parametros!$B$5)*B171</f>
        <v/>
      </c>
      <c r="M171" s="40">
        <f>-Parametros!$B$9*O170</f>
        <v/>
      </c>
      <c r="N171" s="41">
        <f>J171+K171+L171+M171</f>
        <v/>
      </c>
      <c r="O171" s="19">
        <f>IF(N171&gt;=Parametros!$B$10,1,0)</f>
        <v/>
      </c>
      <c r="P171" s="22" t="n"/>
      <c r="Q171" s="42">
        <f>Parametros!$B$11*H171+(1-Parametros!$B$11)*O171</f>
        <v/>
      </c>
    </row>
    <row r="172" ht="17" customHeight="1">
      <c r="A172" s="36" t="n">
        <v>167</v>
      </c>
      <c r="B172" s="37">
        <f>Datos!$B$170</f>
        <v/>
      </c>
      <c r="C172" s="38">
        <f>Parametros!$B$4*G171</f>
        <v/>
      </c>
      <c r="D172" s="38">
        <f>Parametros!$B$6*N171</f>
        <v/>
      </c>
      <c r="E172" s="38">
        <f>(1-Parametros!$B$4)*B172</f>
        <v/>
      </c>
      <c r="F172" s="38">
        <f>-Parametros!$B$8*H171</f>
        <v/>
      </c>
      <c r="G172" s="39">
        <f>C172+D172+E172+F172</f>
        <v/>
      </c>
      <c r="H172" s="19">
        <f>IF(G172&gt;=Parametros!$B$10,1,0)</f>
        <v/>
      </c>
      <c r="I172" s="22" t="n"/>
      <c r="J172" s="40">
        <f>Parametros!$B$5*N171</f>
        <v/>
      </c>
      <c r="K172" s="40">
        <f>Parametros!$B$7*G172</f>
        <v/>
      </c>
      <c r="L172" s="40">
        <f>(1-Parametros!$B$5)*B172</f>
        <v/>
      </c>
      <c r="M172" s="40">
        <f>-Parametros!$B$9*O171</f>
        <v/>
      </c>
      <c r="N172" s="41">
        <f>J172+K172+L172+M172</f>
        <v/>
      </c>
      <c r="O172" s="19">
        <f>IF(N172&gt;=Parametros!$B$10,1,0)</f>
        <v/>
      </c>
      <c r="P172" s="22" t="n"/>
      <c r="Q172" s="42">
        <f>Parametros!$B$11*H172+(1-Parametros!$B$11)*O172</f>
        <v/>
      </c>
    </row>
    <row r="173">
      <c r="I173" s="22" t="n"/>
      <c r="P173" s="22" t="n"/>
    </row>
    <row r="174" ht="20" customHeight="1">
      <c r="A174" s="43" t="inlineStr">
        <is>
          <t>Cada celda tiene una formula real. vd y vs se encadenan fila a fila (cada fila usa G y N de la fila anterior). sd=1 y ss=1 indican que la neurona disparo (spike) en esa hora.</t>
        </is>
      </c>
    </row>
    <row r="175">
      <c r="I175" s="22" t="n"/>
      <c r="P175" s="22" t="n"/>
    </row>
    <row r="176">
      <c r="I176" s="22" t="n"/>
      <c r="P176" s="22" t="n"/>
    </row>
    <row r="177">
      <c r="I177" s="22" t="n"/>
      <c r="P177" s="22" t="n"/>
    </row>
  </sheetData>
  <mergeCells count="6">
    <mergeCell ref="A4:B4"/>
    <mergeCell ref="C2:H2"/>
    <mergeCell ref="A2:B2"/>
    <mergeCell ref="A174:Q174"/>
    <mergeCell ref="J2:P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t</t>
        </is>
      </c>
      <c r="B1" s="3" t="inlineStr">
        <is>
          <t>c[t] entrada</t>
        </is>
      </c>
      <c r="C1" s="3" t="inlineStr">
        <is>
          <t>vd[t] dendrita</t>
        </is>
      </c>
      <c r="D1" s="3" t="inlineStr">
        <is>
          <t>vs[t] soma</t>
        </is>
      </c>
    </row>
    <row r="2">
      <c r="A2" s="44" t="n">
        <v>0</v>
      </c>
      <c r="B2" s="44">
        <f>Simulacion!B5</f>
        <v/>
      </c>
      <c r="C2" s="44">
        <f>Simulacion!G5</f>
        <v/>
      </c>
      <c r="D2" s="44">
        <f>Simulacion!N5</f>
        <v/>
      </c>
    </row>
    <row r="3">
      <c r="A3" s="44" t="n">
        <v>1</v>
      </c>
      <c r="B3" s="44">
        <f>Simulacion!B6</f>
        <v/>
      </c>
      <c r="C3" s="44">
        <f>Simulacion!G6</f>
        <v/>
      </c>
      <c r="D3" s="44">
        <f>Simulacion!N6</f>
        <v/>
      </c>
    </row>
    <row r="4">
      <c r="A4" s="44" t="n">
        <v>2</v>
      </c>
      <c r="B4" s="44">
        <f>Simulacion!B7</f>
        <v/>
      </c>
      <c r="C4" s="44">
        <f>Simulacion!G7</f>
        <v/>
      </c>
      <c r="D4" s="44">
        <f>Simulacion!N7</f>
        <v/>
      </c>
    </row>
    <row r="5">
      <c r="A5" s="44" t="n">
        <v>3</v>
      </c>
      <c r="B5" s="44">
        <f>Simulacion!B8</f>
        <v/>
      </c>
      <c r="C5" s="44">
        <f>Simulacion!G8</f>
        <v/>
      </c>
      <c r="D5" s="44">
        <f>Simulacion!N8</f>
        <v/>
      </c>
    </row>
    <row r="6">
      <c r="A6" s="44" t="n">
        <v>4</v>
      </c>
      <c r="B6" s="44">
        <f>Simulacion!B9</f>
        <v/>
      </c>
      <c r="C6" s="44">
        <f>Simulacion!G9</f>
        <v/>
      </c>
      <c r="D6" s="44">
        <f>Simulacion!N9</f>
        <v/>
      </c>
    </row>
    <row r="7">
      <c r="A7" s="44" t="n">
        <v>5</v>
      </c>
      <c r="B7" s="44">
        <f>Simulacion!B10</f>
        <v/>
      </c>
      <c r="C7" s="44">
        <f>Simulacion!G10</f>
        <v/>
      </c>
      <c r="D7" s="44">
        <f>Simulacion!N10</f>
        <v/>
      </c>
    </row>
    <row r="8">
      <c r="A8" s="44" t="n">
        <v>6</v>
      </c>
      <c r="B8" s="44">
        <f>Simulacion!B11</f>
        <v/>
      </c>
      <c r="C8" s="44">
        <f>Simulacion!G11</f>
        <v/>
      </c>
      <c r="D8" s="44">
        <f>Simulacion!N11</f>
        <v/>
      </c>
    </row>
    <row r="9">
      <c r="A9" s="44" t="n">
        <v>7</v>
      </c>
      <c r="B9" s="44">
        <f>Simulacion!B12</f>
        <v/>
      </c>
      <c r="C9" s="44">
        <f>Simulacion!G12</f>
        <v/>
      </c>
      <c r="D9" s="44">
        <f>Simulacion!N12</f>
        <v/>
      </c>
    </row>
    <row r="10">
      <c r="A10" s="44" t="n">
        <v>8</v>
      </c>
      <c r="B10" s="44">
        <f>Simulacion!B13</f>
        <v/>
      </c>
      <c r="C10" s="44">
        <f>Simulacion!G13</f>
        <v/>
      </c>
      <c r="D10" s="44">
        <f>Simulacion!N13</f>
        <v/>
      </c>
    </row>
    <row r="11">
      <c r="A11" s="44" t="n">
        <v>9</v>
      </c>
      <c r="B11" s="44">
        <f>Simulacion!B14</f>
        <v/>
      </c>
      <c r="C11" s="44">
        <f>Simulacion!G14</f>
        <v/>
      </c>
      <c r="D11" s="44">
        <f>Simulacion!N14</f>
        <v/>
      </c>
    </row>
    <row r="12">
      <c r="A12" s="44" t="n">
        <v>10</v>
      </c>
      <c r="B12" s="44">
        <f>Simulacion!B15</f>
        <v/>
      </c>
      <c r="C12" s="44">
        <f>Simulacion!G15</f>
        <v/>
      </c>
      <c r="D12" s="44">
        <f>Simulacion!N15</f>
        <v/>
      </c>
    </row>
    <row r="13">
      <c r="A13" s="44" t="n">
        <v>11</v>
      </c>
      <c r="B13" s="44">
        <f>Simulacion!B16</f>
        <v/>
      </c>
      <c r="C13" s="44">
        <f>Simulacion!G16</f>
        <v/>
      </c>
      <c r="D13" s="44">
        <f>Simulacion!N16</f>
        <v/>
      </c>
    </row>
    <row r="14">
      <c r="A14" s="44" t="n">
        <v>12</v>
      </c>
      <c r="B14" s="44">
        <f>Simulacion!B17</f>
        <v/>
      </c>
      <c r="C14" s="44">
        <f>Simulacion!G17</f>
        <v/>
      </c>
      <c r="D14" s="44">
        <f>Simulacion!N17</f>
        <v/>
      </c>
    </row>
    <row r="15">
      <c r="A15" s="44" t="n">
        <v>13</v>
      </c>
      <c r="B15" s="44">
        <f>Simulacion!B18</f>
        <v/>
      </c>
      <c r="C15" s="44">
        <f>Simulacion!G18</f>
        <v/>
      </c>
      <c r="D15" s="44">
        <f>Simulacion!N18</f>
        <v/>
      </c>
    </row>
    <row r="16">
      <c r="A16" s="44" t="n">
        <v>14</v>
      </c>
      <c r="B16" s="44">
        <f>Simulacion!B19</f>
        <v/>
      </c>
      <c r="C16" s="44">
        <f>Simulacion!G19</f>
        <v/>
      </c>
      <c r="D16" s="44">
        <f>Simulacion!N19</f>
        <v/>
      </c>
    </row>
    <row r="17">
      <c r="A17" s="44" t="n">
        <v>15</v>
      </c>
      <c r="B17" s="44">
        <f>Simulacion!B20</f>
        <v/>
      </c>
      <c r="C17" s="44">
        <f>Simulacion!G20</f>
        <v/>
      </c>
      <c r="D17" s="44">
        <f>Simulacion!N20</f>
        <v/>
      </c>
    </row>
    <row r="18">
      <c r="A18" s="44" t="n">
        <v>16</v>
      </c>
      <c r="B18" s="44">
        <f>Simulacion!B21</f>
        <v/>
      </c>
      <c r="C18" s="44">
        <f>Simulacion!G21</f>
        <v/>
      </c>
      <c r="D18" s="44">
        <f>Simulacion!N21</f>
        <v/>
      </c>
    </row>
    <row r="19">
      <c r="A19" s="44" t="n">
        <v>17</v>
      </c>
      <c r="B19" s="44">
        <f>Simulacion!B22</f>
        <v/>
      </c>
      <c r="C19" s="44">
        <f>Simulacion!G22</f>
        <v/>
      </c>
      <c r="D19" s="44">
        <f>Simulacion!N22</f>
        <v/>
      </c>
    </row>
    <row r="20">
      <c r="A20" s="44" t="n">
        <v>18</v>
      </c>
      <c r="B20" s="44">
        <f>Simulacion!B23</f>
        <v/>
      </c>
      <c r="C20" s="44">
        <f>Simulacion!G23</f>
        <v/>
      </c>
      <c r="D20" s="44">
        <f>Simulacion!N23</f>
        <v/>
      </c>
    </row>
    <row r="21">
      <c r="A21" s="44" t="n">
        <v>19</v>
      </c>
      <c r="B21" s="44">
        <f>Simulacion!B24</f>
        <v/>
      </c>
      <c r="C21" s="44">
        <f>Simulacion!G24</f>
        <v/>
      </c>
      <c r="D21" s="44">
        <f>Simulacion!N24</f>
        <v/>
      </c>
    </row>
    <row r="22">
      <c r="A22" s="44" t="n">
        <v>20</v>
      </c>
      <c r="B22" s="44">
        <f>Simulacion!B25</f>
        <v/>
      </c>
      <c r="C22" s="44">
        <f>Simulacion!G25</f>
        <v/>
      </c>
      <c r="D22" s="44">
        <f>Simulacion!N25</f>
        <v/>
      </c>
    </row>
    <row r="23">
      <c r="A23" s="44" t="n">
        <v>21</v>
      </c>
      <c r="B23" s="44">
        <f>Simulacion!B26</f>
        <v/>
      </c>
      <c r="C23" s="44">
        <f>Simulacion!G26</f>
        <v/>
      </c>
      <c r="D23" s="44">
        <f>Simulacion!N26</f>
        <v/>
      </c>
    </row>
    <row r="24">
      <c r="A24" s="44" t="n">
        <v>22</v>
      </c>
      <c r="B24" s="44">
        <f>Simulacion!B27</f>
        <v/>
      </c>
      <c r="C24" s="44">
        <f>Simulacion!G27</f>
        <v/>
      </c>
      <c r="D24" s="44">
        <f>Simulacion!N27</f>
        <v/>
      </c>
    </row>
    <row r="25">
      <c r="A25" s="44" t="n">
        <v>23</v>
      </c>
      <c r="B25" s="44">
        <f>Simulacion!B28</f>
        <v/>
      </c>
      <c r="C25" s="44">
        <f>Simulacion!G28</f>
        <v/>
      </c>
      <c r="D25" s="44">
        <f>Simulacion!N28</f>
        <v/>
      </c>
    </row>
    <row r="26">
      <c r="A26" s="44" t="n">
        <v>24</v>
      </c>
      <c r="B26" s="44">
        <f>Simulacion!B29</f>
        <v/>
      </c>
      <c r="C26" s="44">
        <f>Simulacion!G29</f>
        <v/>
      </c>
      <c r="D26" s="44">
        <f>Simulacion!N29</f>
        <v/>
      </c>
    </row>
    <row r="27">
      <c r="A27" s="44" t="n">
        <v>25</v>
      </c>
      <c r="B27" s="44">
        <f>Simulacion!B30</f>
        <v/>
      </c>
      <c r="C27" s="44">
        <f>Simulacion!G30</f>
        <v/>
      </c>
      <c r="D27" s="44">
        <f>Simulacion!N30</f>
        <v/>
      </c>
    </row>
    <row r="28">
      <c r="A28" s="44" t="n">
        <v>26</v>
      </c>
      <c r="B28" s="44">
        <f>Simulacion!B31</f>
        <v/>
      </c>
      <c r="C28" s="44">
        <f>Simulacion!G31</f>
        <v/>
      </c>
      <c r="D28" s="44">
        <f>Simulacion!N31</f>
        <v/>
      </c>
    </row>
    <row r="29">
      <c r="A29" s="44" t="n">
        <v>27</v>
      </c>
      <c r="B29" s="44">
        <f>Simulacion!B32</f>
        <v/>
      </c>
      <c r="C29" s="44">
        <f>Simulacion!G32</f>
        <v/>
      </c>
      <c r="D29" s="44">
        <f>Simulacion!N32</f>
        <v/>
      </c>
    </row>
    <row r="30">
      <c r="A30" s="44" t="n">
        <v>28</v>
      </c>
      <c r="B30" s="44">
        <f>Simulacion!B33</f>
        <v/>
      </c>
      <c r="C30" s="44">
        <f>Simulacion!G33</f>
        <v/>
      </c>
      <c r="D30" s="44">
        <f>Simulacion!N33</f>
        <v/>
      </c>
    </row>
    <row r="31">
      <c r="A31" s="44" t="n">
        <v>29</v>
      </c>
      <c r="B31" s="44">
        <f>Simulacion!B34</f>
        <v/>
      </c>
      <c r="C31" s="44">
        <f>Simulacion!G34</f>
        <v/>
      </c>
      <c r="D31" s="44">
        <f>Simulacion!N34</f>
        <v/>
      </c>
    </row>
    <row r="32">
      <c r="A32" s="44" t="n">
        <v>30</v>
      </c>
      <c r="B32" s="44">
        <f>Simulacion!B35</f>
        <v/>
      </c>
      <c r="C32" s="44">
        <f>Simulacion!G35</f>
        <v/>
      </c>
      <c r="D32" s="44">
        <f>Simulacion!N35</f>
        <v/>
      </c>
    </row>
    <row r="33">
      <c r="A33" s="44" t="n">
        <v>31</v>
      </c>
      <c r="B33" s="44">
        <f>Simulacion!B36</f>
        <v/>
      </c>
      <c r="C33" s="44">
        <f>Simulacion!G36</f>
        <v/>
      </c>
      <c r="D33" s="44">
        <f>Simulacion!N36</f>
        <v/>
      </c>
    </row>
    <row r="34">
      <c r="A34" s="44" t="n">
        <v>32</v>
      </c>
      <c r="B34" s="44">
        <f>Simulacion!B37</f>
        <v/>
      </c>
      <c r="C34" s="44">
        <f>Simulacion!G37</f>
        <v/>
      </c>
      <c r="D34" s="44">
        <f>Simulacion!N37</f>
        <v/>
      </c>
    </row>
    <row r="35">
      <c r="A35" s="44" t="n">
        <v>33</v>
      </c>
      <c r="B35" s="44">
        <f>Simulacion!B38</f>
        <v/>
      </c>
      <c r="C35" s="44">
        <f>Simulacion!G38</f>
        <v/>
      </c>
      <c r="D35" s="44">
        <f>Simulacion!N38</f>
        <v/>
      </c>
    </row>
    <row r="36">
      <c r="A36" s="44" t="n">
        <v>34</v>
      </c>
      <c r="B36" s="44">
        <f>Simulacion!B39</f>
        <v/>
      </c>
      <c r="C36" s="44">
        <f>Simulacion!G39</f>
        <v/>
      </c>
      <c r="D36" s="44">
        <f>Simulacion!N39</f>
        <v/>
      </c>
    </row>
    <row r="37">
      <c r="A37" s="44" t="n">
        <v>35</v>
      </c>
      <c r="B37" s="44">
        <f>Simulacion!B40</f>
        <v/>
      </c>
      <c r="C37" s="44">
        <f>Simulacion!G40</f>
        <v/>
      </c>
      <c r="D37" s="44">
        <f>Simulacion!N40</f>
        <v/>
      </c>
    </row>
    <row r="38">
      <c r="A38" s="44" t="n">
        <v>36</v>
      </c>
      <c r="B38" s="44">
        <f>Simulacion!B41</f>
        <v/>
      </c>
      <c r="C38" s="44">
        <f>Simulacion!G41</f>
        <v/>
      </c>
      <c r="D38" s="44">
        <f>Simulacion!N41</f>
        <v/>
      </c>
    </row>
    <row r="39">
      <c r="A39" s="44" t="n">
        <v>37</v>
      </c>
      <c r="B39" s="44">
        <f>Simulacion!B42</f>
        <v/>
      </c>
      <c r="C39" s="44">
        <f>Simulacion!G42</f>
        <v/>
      </c>
      <c r="D39" s="44">
        <f>Simulacion!N42</f>
        <v/>
      </c>
    </row>
    <row r="40">
      <c r="A40" s="44" t="n">
        <v>38</v>
      </c>
      <c r="B40" s="44">
        <f>Simulacion!B43</f>
        <v/>
      </c>
      <c r="C40" s="44">
        <f>Simulacion!G43</f>
        <v/>
      </c>
      <c r="D40" s="44">
        <f>Simulacion!N43</f>
        <v/>
      </c>
    </row>
    <row r="41">
      <c r="A41" s="44" t="n">
        <v>39</v>
      </c>
      <c r="B41" s="44">
        <f>Simulacion!B44</f>
        <v/>
      </c>
      <c r="C41" s="44">
        <f>Simulacion!G44</f>
        <v/>
      </c>
      <c r="D41" s="44">
        <f>Simulacion!N44</f>
        <v/>
      </c>
    </row>
    <row r="42">
      <c r="A42" s="44" t="n">
        <v>40</v>
      </c>
      <c r="B42" s="44">
        <f>Simulacion!B45</f>
        <v/>
      </c>
      <c r="C42" s="44">
        <f>Simulacion!G45</f>
        <v/>
      </c>
      <c r="D42" s="44">
        <f>Simulacion!N45</f>
        <v/>
      </c>
    </row>
    <row r="43">
      <c r="A43" s="44" t="n">
        <v>41</v>
      </c>
      <c r="B43" s="44">
        <f>Simulacion!B46</f>
        <v/>
      </c>
      <c r="C43" s="44">
        <f>Simulacion!G46</f>
        <v/>
      </c>
      <c r="D43" s="44">
        <f>Simulacion!N46</f>
        <v/>
      </c>
    </row>
    <row r="44">
      <c r="A44" s="44" t="n">
        <v>42</v>
      </c>
      <c r="B44" s="44">
        <f>Simulacion!B47</f>
        <v/>
      </c>
      <c r="C44" s="44">
        <f>Simulacion!G47</f>
        <v/>
      </c>
      <c r="D44" s="44">
        <f>Simulacion!N47</f>
        <v/>
      </c>
    </row>
    <row r="45">
      <c r="A45" s="44" t="n">
        <v>43</v>
      </c>
      <c r="B45" s="44">
        <f>Simulacion!B48</f>
        <v/>
      </c>
      <c r="C45" s="44">
        <f>Simulacion!G48</f>
        <v/>
      </c>
      <c r="D45" s="44">
        <f>Simulacion!N48</f>
        <v/>
      </c>
    </row>
    <row r="46">
      <c r="A46" s="44" t="n">
        <v>44</v>
      </c>
      <c r="B46" s="44">
        <f>Simulacion!B49</f>
        <v/>
      </c>
      <c r="C46" s="44">
        <f>Simulacion!G49</f>
        <v/>
      </c>
      <c r="D46" s="44">
        <f>Simulacion!N49</f>
        <v/>
      </c>
    </row>
    <row r="47">
      <c r="A47" s="44" t="n">
        <v>45</v>
      </c>
      <c r="B47" s="44">
        <f>Simulacion!B50</f>
        <v/>
      </c>
      <c r="C47" s="44">
        <f>Simulacion!G50</f>
        <v/>
      </c>
      <c r="D47" s="44">
        <f>Simulacion!N50</f>
        <v/>
      </c>
    </row>
    <row r="48">
      <c r="A48" s="44" t="n">
        <v>46</v>
      </c>
      <c r="B48" s="44">
        <f>Simulacion!B51</f>
        <v/>
      </c>
      <c r="C48" s="44">
        <f>Simulacion!G51</f>
        <v/>
      </c>
      <c r="D48" s="44">
        <f>Simulacion!N51</f>
        <v/>
      </c>
    </row>
    <row r="49">
      <c r="A49" s="44" t="n">
        <v>47</v>
      </c>
      <c r="B49" s="44">
        <f>Simulacion!B52</f>
        <v/>
      </c>
      <c r="C49" s="44">
        <f>Simulacion!G52</f>
        <v/>
      </c>
      <c r="D49" s="44">
        <f>Simulacion!N52</f>
        <v/>
      </c>
    </row>
    <row r="50">
      <c r="A50" s="44" t="n">
        <v>48</v>
      </c>
      <c r="B50" s="44">
        <f>Simulacion!B53</f>
        <v/>
      </c>
      <c r="C50" s="44">
        <f>Simulacion!G53</f>
        <v/>
      </c>
      <c r="D50" s="44">
        <f>Simulacion!N53</f>
        <v/>
      </c>
    </row>
    <row r="51">
      <c r="A51" s="44" t="n">
        <v>49</v>
      </c>
      <c r="B51" s="44">
        <f>Simulacion!B54</f>
        <v/>
      </c>
      <c r="C51" s="44">
        <f>Simulacion!G54</f>
        <v/>
      </c>
      <c r="D51" s="44">
        <f>Simulacion!N54</f>
        <v/>
      </c>
    </row>
    <row r="52">
      <c r="A52" s="44" t="n">
        <v>50</v>
      </c>
      <c r="B52" s="44">
        <f>Simulacion!B55</f>
        <v/>
      </c>
      <c r="C52" s="44">
        <f>Simulacion!G55</f>
        <v/>
      </c>
      <c r="D52" s="44">
        <f>Simulacion!N55</f>
        <v/>
      </c>
    </row>
    <row r="53">
      <c r="A53" s="44" t="n">
        <v>51</v>
      </c>
      <c r="B53" s="44">
        <f>Simulacion!B56</f>
        <v/>
      </c>
      <c r="C53" s="44">
        <f>Simulacion!G56</f>
        <v/>
      </c>
      <c r="D53" s="44">
        <f>Simulacion!N56</f>
        <v/>
      </c>
    </row>
    <row r="54">
      <c r="A54" s="44" t="n">
        <v>52</v>
      </c>
      <c r="B54" s="44">
        <f>Simulacion!B57</f>
        <v/>
      </c>
      <c r="C54" s="44">
        <f>Simulacion!G57</f>
        <v/>
      </c>
      <c r="D54" s="44">
        <f>Simulacion!N57</f>
        <v/>
      </c>
    </row>
    <row r="55">
      <c r="A55" s="44" t="n">
        <v>53</v>
      </c>
      <c r="B55" s="44">
        <f>Simulacion!B58</f>
        <v/>
      </c>
      <c r="C55" s="44">
        <f>Simulacion!G58</f>
        <v/>
      </c>
      <c r="D55" s="44">
        <f>Simulacion!N58</f>
        <v/>
      </c>
    </row>
    <row r="56">
      <c r="A56" s="44" t="n">
        <v>54</v>
      </c>
      <c r="B56" s="44">
        <f>Simulacion!B59</f>
        <v/>
      </c>
      <c r="C56" s="44">
        <f>Simulacion!G59</f>
        <v/>
      </c>
      <c r="D56" s="44">
        <f>Simulacion!N59</f>
        <v/>
      </c>
    </row>
    <row r="57">
      <c r="A57" s="44" t="n">
        <v>55</v>
      </c>
      <c r="B57" s="44">
        <f>Simulacion!B60</f>
        <v/>
      </c>
      <c r="C57" s="44">
        <f>Simulacion!G60</f>
        <v/>
      </c>
      <c r="D57" s="44">
        <f>Simulacion!N60</f>
        <v/>
      </c>
    </row>
    <row r="58">
      <c r="A58" s="44" t="n">
        <v>56</v>
      </c>
      <c r="B58" s="44">
        <f>Simulacion!B61</f>
        <v/>
      </c>
      <c r="C58" s="44">
        <f>Simulacion!G61</f>
        <v/>
      </c>
      <c r="D58" s="44">
        <f>Simulacion!N61</f>
        <v/>
      </c>
    </row>
    <row r="59">
      <c r="A59" s="44" t="n">
        <v>57</v>
      </c>
      <c r="B59" s="44">
        <f>Simulacion!B62</f>
        <v/>
      </c>
      <c r="C59" s="44">
        <f>Simulacion!G62</f>
        <v/>
      </c>
      <c r="D59" s="44">
        <f>Simulacion!N62</f>
        <v/>
      </c>
    </row>
    <row r="60">
      <c r="A60" s="44" t="n">
        <v>58</v>
      </c>
      <c r="B60" s="44">
        <f>Simulacion!B63</f>
        <v/>
      </c>
      <c r="C60" s="44">
        <f>Simulacion!G63</f>
        <v/>
      </c>
      <c r="D60" s="44">
        <f>Simulacion!N63</f>
        <v/>
      </c>
    </row>
    <row r="61">
      <c r="A61" s="44" t="n">
        <v>59</v>
      </c>
      <c r="B61" s="44">
        <f>Simulacion!B64</f>
        <v/>
      </c>
      <c r="C61" s="44">
        <f>Simulacion!G64</f>
        <v/>
      </c>
      <c r="D61" s="44">
        <f>Simulacion!N64</f>
        <v/>
      </c>
    </row>
    <row r="62">
      <c r="A62" s="44" t="n">
        <v>60</v>
      </c>
      <c r="B62" s="44">
        <f>Simulacion!B65</f>
        <v/>
      </c>
      <c r="C62" s="44">
        <f>Simulacion!G65</f>
        <v/>
      </c>
      <c r="D62" s="44">
        <f>Simulacion!N65</f>
        <v/>
      </c>
    </row>
    <row r="63">
      <c r="A63" s="44" t="n">
        <v>61</v>
      </c>
      <c r="B63" s="44">
        <f>Simulacion!B66</f>
        <v/>
      </c>
      <c r="C63" s="44">
        <f>Simulacion!G66</f>
        <v/>
      </c>
      <c r="D63" s="44">
        <f>Simulacion!N66</f>
        <v/>
      </c>
    </row>
    <row r="64">
      <c r="A64" s="44" t="n">
        <v>62</v>
      </c>
      <c r="B64" s="44">
        <f>Simulacion!B67</f>
        <v/>
      </c>
      <c r="C64" s="44">
        <f>Simulacion!G67</f>
        <v/>
      </c>
      <c r="D64" s="44">
        <f>Simulacion!N67</f>
        <v/>
      </c>
    </row>
    <row r="65">
      <c r="A65" s="44" t="n">
        <v>63</v>
      </c>
      <c r="B65" s="44">
        <f>Simulacion!B68</f>
        <v/>
      </c>
      <c r="C65" s="44">
        <f>Simulacion!G68</f>
        <v/>
      </c>
      <c r="D65" s="44">
        <f>Simulacion!N68</f>
        <v/>
      </c>
    </row>
    <row r="66">
      <c r="A66" s="44" t="n">
        <v>64</v>
      </c>
      <c r="B66" s="44">
        <f>Simulacion!B69</f>
        <v/>
      </c>
      <c r="C66" s="44">
        <f>Simulacion!G69</f>
        <v/>
      </c>
      <c r="D66" s="44">
        <f>Simulacion!N69</f>
        <v/>
      </c>
    </row>
    <row r="67">
      <c r="A67" s="44" t="n">
        <v>65</v>
      </c>
      <c r="B67" s="44">
        <f>Simulacion!B70</f>
        <v/>
      </c>
      <c r="C67" s="44">
        <f>Simulacion!G70</f>
        <v/>
      </c>
      <c r="D67" s="44">
        <f>Simulacion!N70</f>
        <v/>
      </c>
    </row>
    <row r="68">
      <c r="A68" s="44" t="n">
        <v>66</v>
      </c>
      <c r="B68" s="44">
        <f>Simulacion!B71</f>
        <v/>
      </c>
      <c r="C68" s="44">
        <f>Simulacion!G71</f>
        <v/>
      </c>
      <c r="D68" s="44">
        <f>Simulacion!N71</f>
        <v/>
      </c>
    </row>
    <row r="69">
      <c r="A69" s="44" t="n">
        <v>67</v>
      </c>
      <c r="B69" s="44">
        <f>Simulacion!B72</f>
        <v/>
      </c>
      <c r="C69" s="44">
        <f>Simulacion!G72</f>
        <v/>
      </c>
      <c r="D69" s="44">
        <f>Simulacion!N72</f>
        <v/>
      </c>
    </row>
    <row r="70">
      <c r="A70" s="44" t="n">
        <v>68</v>
      </c>
      <c r="B70" s="44">
        <f>Simulacion!B73</f>
        <v/>
      </c>
      <c r="C70" s="44">
        <f>Simulacion!G73</f>
        <v/>
      </c>
      <c r="D70" s="44">
        <f>Simulacion!N73</f>
        <v/>
      </c>
    </row>
    <row r="71">
      <c r="A71" s="44" t="n">
        <v>69</v>
      </c>
      <c r="B71" s="44">
        <f>Simulacion!B74</f>
        <v/>
      </c>
      <c r="C71" s="44">
        <f>Simulacion!G74</f>
        <v/>
      </c>
      <c r="D71" s="44">
        <f>Simulacion!N74</f>
        <v/>
      </c>
    </row>
    <row r="72">
      <c r="A72" s="44" t="n">
        <v>70</v>
      </c>
      <c r="B72" s="44">
        <f>Simulacion!B75</f>
        <v/>
      </c>
      <c r="C72" s="44">
        <f>Simulacion!G75</f>
        <v/>
      </c>
      <c r="D72" s="44">
        <f>Simulacion!N75</f>
        <v/>
      </c>
    </row>
    <row r="73">
      <c r="A73" s="44" t="n">
        <v>71</v>
      </c>
      <c r="B73" s="44">
        <f>Simulacion!B76</f>
        <v/>
      </c>
      <c r="C73" s="44">
        <f>Simulacion!G76</f>
        <v/>
      </c>
      <c r="D73" s="44">
        <f>Simulacion!N76</f>
        <v/>
      </c>
    </row>
    <row r="74">
      <c r="A74" s="44" t="n">
        <v>72</v>
      </c>
      <c r="B74" s="44">
        <f>Simulacion!B77</f>
        <v/>
      </c>
      <c r="C74" s="44">
        <f>Simulacion!G77</f>
        <v/>
      </c>
      <c r="D74" s="44">
        <f>Simulacion!N77</f>
        <v/>
      </c>
    </row>
    <row r="75">
      <c r="A75" s="44" t="n">
        <v>73</v>
      </c>
      <c r="B75" s="44">
        <f>Simulacion!B78</f>
        <v/>
      </c>
      <c r="C75" s="44">
        <f>Simulacion!G78</f>
        <v/>
      </c>
      <c r="D75" s="44">
        <f>Simulacion!N78</f>
        <v/>
      </c>
    </row>
    <row r="76">
      <c r="A76" s="44" t="n">
        <v>74</v>
      </c>
      <c r="B76" s="44">
        <f>Simulacion!B79</f>
        <v/>
      </c>
      <c r="C76" s="44">
        <f>Simulacion!G79</f>
        <v/>
      </c>
      <c r="D76" s="44">
        <f>Simulacion!N79</f>
        <v/>
      </c>
    </row>
    <row r="77">
      <c r="A77" s="44" t="n">
        <v>75</v>
      </c>
      <c r="B77" s="44">
        <f>Simulacion!B80</f>
        <v/>
      </c>
      <c r="C77" s="44">
        <f>Simulacion!G80</f>
        <v/>
      </c>
      <c r="D77" s="44">
        <f>Simulacion!N80</f>
        <v/>
      </c>
    </row>
    <row r="78">
      <c r="A78" s="44" t="n">
        <v>76</v>
      </c>
      <c r="B78" s="44">
        <f>Simulacion!B81</f>
        <v/>
      </c>
      <c r="C78" s="44">
        <f>Simulacion!G81</f>
        <v/>
      </c>
      <c r="D78" s="44">
        <f>Simulacion!N81</f>
        <v/>
      </c>
    </row>
    <row r="79">
      <c r="A79" s="44" t="n">
        <v>77</v>
      </c>
      <c r="B79" s="44">
        <f>Simulacion!B82</f>
        <v/>
      </c>
      <c r="C79" s="44">
        <f>Simulacion!G82</f>
        <v/>
      </c>
      <c r="D79" s="44">
        <f>Simulacion!N82</f>
        <v/>
      </c>
    </row>
    <row r="80">
      <c r="A80" s="44" t="n">
        <v>78</v>
      </c>
      <c r="B80" s="44">
        <f>Simulacion!B83</f>
        <v/>
      </c>
      <c r="C80" s="44">
        <f>Simulacion!G83</f>
        <v/>
      </c>
      <c r="D80" s="44">
        <f>Simulacion!N83</f>
        <v/>
      </c>
    </row>
    <row r="81">
      <c r="A81" s="44" t="n">
        <v>79</v>
      </c>
      <c r="B81" s="44">
        <f>Simulacion!B84</f>
        <v/>
      </c>
      <c r="C81" s="44">
        <f>Simulacion!G84</f>
        <v/>
      </c>
      <c r="D81" s="44">
        <f>Simulacion!N84</f>
        <v/>
      </c>
    </row>
    <row r="82">
      <c r="A82" s="44" t="n">
        <v>80</v>
      </c>
      <c r="B82" s="44">
        <f>Simulacion!B85</f>
        <v/>
      </c>
      <c r="C82" s="44">
        <f>Simulacion!G85</f>
        <v/>
      </c>
      <c r="D82" s="44">
        <f>Simulacion!N85</f>
        <v/>
      </c>
    </row>
    <row r="83">
      <c r="A83" s="44" t="n">
        <v>81</v>
      </c>
      <c r="B83" s="44">
        <f>Simulacion!B86</f>
        <v/>
      </c>
      <c r="C83" s="44">
        <f>Simulacion!G86</f>
        <v/>
      </c>
      <c r="D83" s="44">
        <f>Simulacion!N86</f>
        <v/>
      </c>
    </row>
    <row r="84">
      <c r="A84" s="44" t="n">
        <v>82</v>
      </c>
      <c r="B84" s="44">
        <f>Simulacion!B87</f>
        <v/>
      </c>
      <c r="C84" s="44">
        <f>Simulacion!G87</f>
        <v/>
      </c>
      <c r="D84" s="44">
        <f>Simulacion!N87</f>
        <v/>
      </c>
    </row>
    <row r="85">
      <c r="A85" s="44" t="n">
        <v>83</v>
      </c>
      <c r="B85" s="44">
        <f>Simulacion!B88</f>
        <v/>
      </c>
      <c r="C85" s="44">
        <f>Simulacion!G88</f>
        <v/>
      </c>
      <c r="D85" s="44">
        <f>Simulacion!N88</f>
        <v/>
      </c>
    </row>
    <row r="86">
      <c r="A86" s="44" t="n">
        <v>84</v>
      </c>
      <c r="B86" s="44">
        <f>Simulacion!B89</f>
        <v/>
      </c>
      <c r="C86" s="44">
        <f>Simulacion!G89</f>
        <v/>
      </c>
      <c r="D86" s="44">
        <f>Simulacion!N89</f>
        <v/>
      </c>
    </row>
    <row r="87">
      <c r="A87" s="44" t="n">
        <v>85</v>
      </c>
      <c r="B87" s="44">
        <f>Simulacion!B90</f>
        <v/>
      </c>
      <c r="C87" s="44">
        <f>Simulacion!G90</f>
        <v/>
      </c>
      <c r="D87" s="44">
        <f>Simulacion!N90</f>
        <v/>
      </c>
    </row>
    <row r="88">
      <c r="A88" s="44" t="n">
        <v>86</v>
      </c>
      <c r="B88" s="44">
        <f>Simulacion!B91</f>
        <v/>
      </c>
      <c r="C88" s="44">
        <f>Simulacion!G91</f>
        <v/>
      </c>
      <c r="D88" s="44">
        <f>Simulacion!N91</f>
        <v/>
      </c>
    </row>
    <row r="89">
      <c r="A89" s="44" t="n">
        <v>87</v>
      </c>
      <c r="B89" s="44">
        <f>Simulacion!B92</f>
        <v/>
      </c>
      <c r="C89" s="44">
        <f>Simulacion!G92</f>
        <v/>
      </c>
      <c r="D89" s="44">
        <f>Simulacion!N92</f>
        <v/>
      </c>
    </row>
    <row r="90">
      <c r="A90" s="44" t="n">
        <v>88</v>
      </c>
      <c r="B90" s="44">
        <f>Simulacion!B93</f>
        <v/>
      </c>
      <c r="C90" s="44">
        <f>Simulacion!G93</f>
        <v/>
      </c>
      <c r="D90" s="44">
        <f>Simulacion!N93</f>
        <v/>
      </c>
    </row>
    <row r="91">
      <c r="A91" s="44" t="n">
        <v>89</v>
      </c>
      <c r="B91" s="44">
        <f>Simulacion!B94</f>
        <v/>
      </c>
      <c r="C91" s="44">
        <f>Simulacion!G94</f>
        <v/>
      </c>
      <c r="D91" s="44">
        <f>Simulacion!N94</f>
        <v/>
      </c>
    </row>
    <row r="92">
      <c r="A92" s="44" t="n">
        <v>90</v>
      </c>
      <c r="B92" s="44">
        <f>Simulacion!B95</f>
        <v/>
      </c>
      <c r="C92" s="44">
        <f>Simulacion!G95</f>
        <v/>
      </c>
      <c r="D92" s="44">
        <f>Simulacion!N95</f>
        <v/>
      </c>
    </row>
    <row r="93">
      <c r="A93" s="44" t="n">
        <v>91</v>
      </c>
      <c r="B93" s="44">
        <f>Simulacion!B96</f>
        <v/>
      </c>
      <c r="C93" s="44">
        <f>Simulacion!G96</f>
        <v/>
      </c>
      <c r="D93" s="44">
        <f>Simulacion!N96</f>
        <v/>
      </c>
    </row>
    <row r="94">
      <c r="A94" s="44" t="n">
        <v>92</v>
      </c>
      <c r="B94" s="44">
        <f>Simulacion!B97</f>
        <v/>
      </c>
      <c r="C94" s="44">
        <f>Simulacion!G97</f>
        <v/>
      </c>
      <c r="D94" s="44">
        <f>Simulacion!N97</f>
        <v/>
      </c>
    </row>
    <row r="95">
      <c r="A95" s="44" t="n">
        <v>93</v>
      </c>
      <c r="B95" s="44">
        <f>Simulacion!B98</f>
        <v/>
      </c>
      <c r="C95" s="44">
        <f>Simulacion!G98</f>
        <v/>
      </c>
      <c r="D95" s="44">
        <f>Simulacion!N98</f>
        <v/>
      </c>
    </row>
    <row r="96">
      <c r="A96" s="44" t="n">
        <v>94</v>
      </c>
      <c r="B96" s="44">
        <f>Simulacion!B99</f>
        <v/>
      </c>
      <c r="C96" s="44">
        <f>Simulacion!G99</f>
        <v/>
      </c>
      <c r="D96" s="44">
        <f>Simulacion!N99</f>
        <v/>
      </c>
    </row>
    <row r="97">
      <c r="A97" s="44" t="n">
        <v>95</v>
      </c>
      <c r="B97" s="44">
        <f>Simulacion!B100</f>
        <v/>
      </c>
      <c r="C97" s="44">
        <f>Simulacion!G100</f>
        <v/>
      </c>
      <c r="D97" s="44">
        <f>Simulacion!N100</f>
        <v/>
      </c>
    </row>
    <row r="98">
      <c r="A98" s="44" t="n">
        <v>96</v>
      </c>
      <c r="B98" s="44">
        <f>Simulacion!B101</f>
        <v/>
      </c>
      <c r="C98" s="44">
        <f>Simulacion!G101</f>
        <v/>
      </c>
      <c r="D98" s="44">
        <f>Simulacion!N101</f>
        <v/>
      </c>
    </row>
    <row r="99">
      <c r="A99" s="44" t="n">
        <v>97</v>
      </c>
      <c r="B99" s="44">
        <f>Simulacion!B102</f>
        <v/>
      </c>
      <c r="C99" s="44">
        <f>Simulacion!G102</f>
        <v/>
      </c>
      <c r="D99" s="44">
        <f>Simulacion!N102</f>
        <v/>
      </c>
    </row>
    <row r="100">
      <c r="A100" s="44" t="n">
        <v>98</v>
      </c>
      <c r="B100" s="44">
        <f>Simulacion!B103</f>
        <v/>
      </c>
      <c r="C100" s="44">
        <f>Simulacion!G103</f>
        <v/>
      </c>
      <c r="D100" s="44">
        <f>Simulacion!N103</f>
        <v/>
      </c>
    </row>
    <row r="101">
      <c r="A101" s="44" t="n">
        <v>99</v>
      </c>
      <c r="B101" s="44">
        <f>Simulacion!B104</f>
        <v/>
      </c>
      <c r="C101" s="44">
        <f>Simulacion!G104</f>
        <v/>
      </c>
      <c r="D101" s="44">
        <f>Simulacion!N104</f>
        <v/>
      </c>
    </row>
    <row r="102">
      <c r="A102" s="44" t="n">
        <v>100</v>
      </c>
      <c r="B102" s="44">
        <f>Simulacion!B105</f>
        <v/>
      </c>
      <c r="C102" s="44">
        <f>Simulacion!G105</f>
        <v/>
      </c>
      <c r="D102" s="44">
        <f>Simulacion!N105</f>
        <v/>
      </c>
    </row>
    <row r="103">
      <c r="A103" s="44" t="n">
        <v>101</v>
      </c>
      <c r="B103" s="44">
        <f>Simulacion!B106</f>
        <v/>
      </c>
      <c r="C103" s="44">
        <f>Simulacion!G106</f>
        <v/>
      </c>
      <c r="D103" s="44">
        <f>Simulacion!N106</f>
        <v/>
      </c>
    </row>
    <row r="104">
      <c r="A104" s="44" t="n">
        <v>102</v>
      </c>
      <c r="B104" s="44">
        <f>Simulacion!B107</f>
        <v/>
      </c>
      <c r="C104" s="44">
        <f>Simulacion!G107</f>
        <v/>
      </c>
      <c r="D104" s="44">
        <f>Simulacion!N107</f>
        <v/>
      </c>
    </row>
    <row r="105">
      <c r="A105" s="44" t="n">
        <v>103</v>
      </c>
      <c r="B105" s="44">
        <f>Simulacion!B108</f>
        <v/>
      </c>
      <c r="C105" s="44">
        <f>Simulacion!G108</f>
        <v/>
      </c>
      <c r="D105" s="44">
        <f>Simulacion!N108</f>
        <v/>
      </c>
    </row>
    <row r="106">
      <c r="A106" s="44" t="n">
        <v>104</v>
      </c>
      <c r="B106" s="44">
        <f>Simulacion!B109</f>
        <v/>
      </c>
      <c r="C106" s="44">
        <f>Simulacion!G109</f>
        <v/>
      </c>
      <c r="D106" s="44">
        <f>Simulacion!N109</f>
        <v/>
      </c>
    </row>
    <row r="107">
      <c r="A107" s="44" t="n">
        <v>105</v>
      </c>
      <c r="B107" s="44">
        <f>Simulacion!B110</f>
        <v/>
      </c>
      <c r="C107" s="44">
        <f>Simulacion!G110</f>
        <v/>
      </c>
      <c r="D107" s="44">
        <f>Simulacion!N110</f>
        <v/>
      </c>
    </row>
    <row r="108">
      <c r="A108" s="44" t="n">
        <v>106</v>
      </c>
      <c r="B108" s="44">
        <f>Simulacion!B111</f>
        <v/>
      </c>
      <c r="C108" s="44">
        <f>Simulacion!G111</f>
        <v/>
      </c>
      <c r="D108" s="44">
        <f>Simulacion!N111</f>
        <v/>
      </c>
    </row>
    <row r="109">
      <c r="A109" s="44" t="n">
        <v>107</v>
      </c>
      <c r="B109" s="44">
        <f>Simulacion!B112</f>
        <v/>
      </c>
      <c r="C109" s="44">
        <f>Simulacion!G112</f>
        <v/>
      </c>
      <c r="D109" s="44">
        <f>Simulacion!N112</f>
        <v/>
      </c>
    </row>
    <row r="110">
      <c r="A110" s="44" t="n">
        <v>108</v>
      </c>
      <c r="B110" s="44">
        <f>Simulacion!B113</f>
        <v/>
      </c>
      <c r="C110" s="44">
        <f>Simulacion!G113</f>
        <v/>
      </c>
      <c r="D110" s="44">
        <f>Simulacion!N113</f>
        <v/>
      </c>
    </row>
    <row r="111">
      <c r="A111" s="44" t="n">
        <v>109</v>
      </c>
      <c r="B111" s="44">
        <f>Simulacion!B114</f>
        <v/>
      </c>
      <c r="C111" s="44">
        <f>Simulacion!G114</f>
        <v/>
      </c>
      <c r="D111" s="44">
        <f>Simulacion!N114</f>
        <v/>
      </c>
    </row>
    <row r="112">
      <c r="A112" s="44" t="n">
        <v>110</v>
      </c>
      <c r="B112" s="44">
        <f>Simulacion!B115</f>
        <v/>
      </c>
      <c r="C112" s="44">
        <f>Simulacion!G115</f>
        <v/>
      </c>
      <c r="D112" s="44">
        <f>Simulacion!N115</f>
        <v/>
      </c>
    </row>
    <row r="113">
      <c r="A113" s="44" t="n">
        <v>111</v>
      </c>
      <c r="B113" s="44">
        <f>Simulacion!B116</f>
        <v/>
      </c>
      <c r="C113" s="44">
        <f>Simulacion!G116</f>
        <v/>
      </c>
      <c r="D113" s="44">
        <f>Simulacion!N116</f>
        <v/>
      </c>
    </row>
    <row r="114">
      <c r="A114" s="44" t="n">
        <v>112</v>
      </c>
      <c r="B114" s="44">
        <f>Simulacion!B117</f>
        <v/>
      </c>
      <c r="C114" s="44">
        <f>Simulacion!G117</f>
        <v/>
      </c>
      <c r="D114" s="44">
        <f>Simulacion!N117</f>
        <v/>
      </c>
    </row>
    <row r="115">
      <c r="A115" s="44" t="n">
        <v>113</v>
      </c>
      <c r="B115" s="44">
        <f>Simulacion!B118</f>
        <v/>
      </c>
      <c r="C115" s="44">
        <f>Simulacion!G118</f>
        <v/>
      </c>
      <c r="D115" s="44">
        <f>Simulacion!N118</f>
        <v/>
      </c>
    </row>
    <row r="116">
      <c r="A116" s="44" t="n">
        <v>114</v>
      </c>
      <c r="B116" s="44">
        <f>Simulacion!B119</f>
        <v/>
      </c>
      <c r="C116" s="44">
        <f>Simulacion!G119</f>
        <v/>
      </c>
      <c r="D116" s="44">
        <f>Simulacion!N119</f>
        <v/>
      </c>
    </row>
    <row r="117">
      <c r="A117" s="44" t="n">
        <v>115</v>
      </c>
      <c r="B117" s="44">
        <f>Simulacion!B120</f>
        <v/>
      </c>
      <c r="C117" s="44">
        <f>Simulacion!G120</f>
        <v/>
      </c>
      <c r="D117" s="44">
        <f>Simulacion!N120</f>
        <v/>
      </c>
    </row>
    <row r="118">
      <c r="A118" s="44" t="n">
        <v>116</v>
      </c>
      <c r="B118" s="44">
        <f>Simulacion!B121</f>
        <v/>
      </c>
      <c r="C118" s="44">
        <f>Simulacion!G121</f>
        <v/>
      </c>
      <c r="D118" s="44">
        <f>Simulacion!N121</f>
        <v/>
      </c>
    </row>
    <row r="119">
      <c r="A119" s="44" t="n">
        <v>117</v>
      </c>
      <c r="B119" s="44">
        <f>Simulacion!B122</f>
        <v/>
      </c>
      <c r="C119" s="44">
        <f>Simulacion!G122</f>
        <v/>
      </c>
      <c r="D119" s="44">
        <f>Simulacion!N122</f>
        <v/>
      </c>
    </row>
    <row r="120">
      <c r="A120" s="44" t="n">
        <v>118</v>
      </c>
      <c r="B120" s="44">
        <f>Simulacion!B123</f>
        <v/>
      </c>
      <c r="C120" s="44">
        <f>Simulacion!G123</f>
        <v/>
      </c>
      <c r="D120" s="44">
        <f>Simulacion!N123</f>
        <v/>
      </c>
    </row>
    <row r="121">
      <c r="A121" s="44" t="n">
        <v>119</v>
      </c>
      <c r="B121" s="44">
        <f>Simulacion!B124</f>
        <v/>
      </c>
      <c r="C121" s="44">
        <f>Simulacion!G124</f>
        <v/>
      </c>
      <c r="D121" s="44">
        <f>Simulacion!N124</f>
        <v/>
      </c>
    </row>
    <row r="122">
      <c r="A122" s="44" t="n">
        <v>120</v>
      </c>
      <c r="B122" s="44">
        <f>Simulacion!B125</f>
        <v/>
      </c>
      <c r="C122" s="44">
        <f>Simulacion!G125</f>
        <v/>
      </c>
      <c r="D122" s="44">
        <f>Simulacion!N125</f>
        <v/>
      </c>
    </row>
    <row r="123">
      <c r="A123" s="44" t="n">
        <v>121</v>
      </c>
      <c r="B123" s="44">
        <f>Simulacion!B126</f>
        <v/>
      </c>
      <c r="C123" s="44">
        <f>Simulacion!G126</f>
        <v/>
      </c>
      <c r="D123" s="44">
        <f>Simulacion!N126</f>
        <v/>
      </c>
    </row>
    <row r="124">
      <c r="A124" s="44" t="n">
        <v>122</v>
      </c>
      <c r="B124" s="44">
        <f>Simulacion!B127</f>
        <v/>
      </c>
      <c r="C124" s="44">
        <f>Simulacion!G127</f>
        <v/>
      </c>
      <c r="D124" s="44">
        <f>Simulacion!N127</f>
        <v/>
      </c>
    </row>
    <row r="125">
      <c r="A125" s="44" t="n">
        <v>123</v>
      </c>
      <c r="B125" s="44">
        <f>Simulacion!B128</f>
        <v/>
      </c>
      <c r="C125" s="44">
        <f>Simulacion!G128</f>
        <v/>
      </c>
      <c r="D125" s="44">
        <f>Simulacion!N128</f>
        <v/>
      </c>
    </row>
    <row r="126">
      <c r="A126" s="44" t="n">
        <v>124</v>
      </c>
      <c r="B126" s="44">
        <f>Simulacion!B129</f>
        <v/>
      </c>
      <c r="C126" s="44">
        <f>Simulacion!G129</f>
        <v/>
      </c>
      <c r="D126" s="44">
        <f>Simulacion!N129</f>
        <v/>
      </c>
    </row>
    <row r="127">
      <c r="A127" s="44" t="n">
        <v>125</v>
      </c>
      <c r="B127" s="44">
        <f>Simulacion!B130</f>
        <v/>
      </c>
      <c r="C127" s="44">
        <f>Simulacion!G130</f>
        <v/>
      </c>
      <c r="D127" s="44">
        <f>Simulacion!N130</f>
        <v/>
      </c>
    </row>
    <row r="128">
      <c r="A128" s="44" t="n">
        <v>126</v>
      </c>
      <c r="B128" s="44">
        <f>Simulacion!B131</f>
        <v/>
      </c>
      <c r="C128" s="44">
        <f>Simulacion!G131</f>
        <v/>
      </c>
      <c r="D128" s="44">
        <f>Simulacion!N131</f>
        <v/>
      </c>
    </row>
    <row r="129">
      <c r="A129" s="44" t="n">
        <v>127</v>
      </c>
      <c r="B129" s="44">
        <f>Simulacion!B132</f>
        <v/>
      </c>
      <c r="C129" s="44">
        <f>Simulacion!G132</f>
        <v/>
      </c>
      <c r="D129" s="44">
        <f>Simulacion!N132</f>
        <v/>
      </c>
    </row>
    <row r="130">
      <c r="A130" s="44" t="n">
        <v>128</v>
      </c>
      <c r="B130" s="44">
        <f>Simulacion!B133</f>
        <v/>
      </c>
      <c r="C130" s="44">
        <f>Simulacion!G133</f>
        <v/>
      </c>
      <c r="D130" s="44">
        <f>Simulacion!N133</f>
        <v/>
      </c>
    </row>
    <row r="131">
      <c r="A131" s="44" t="n">
        <v>129</v>
      </c>
      <c r="B131" s="44">
        <f>Simulacion!B134</f>
        <v/>
      </c>
      <c r="C131" s="44">
        <f>Simulacion!G134</f>
        <v/>
      </c>
      <c r="D131" s="44">
        <f>Simulacion!N134</f>
        <v/>
      </c>
    </row>
    <row r="132">
      <c r="A132" s="44" t="n">
        <v>130</v>
      </c>
      <c r="B132" s="44">
        <f>Simulacion!B135</f>
        <v/>
      </c>
      <c r="C132" s="44">
        <f>Simulacion!G135</f>
        <v/>
      </c>
      <c r="D132" s="44">
        <f>Simulacion!N135</f>
        <v/>
      </c>
    </row>
    <row r="133">
      <c r="A133" s="44" t="n">
        <v>131</v>
      </c>
      <c r="B133" s="44">
        <f>Simulacion!B136</f>
        <v/>
      </c>
      <c r="C133" s="44">
        <f>Simulacion!G136</f>
        <v/>
      </c>
      <c r="D133" s="44">
        <f>Simulacion!N136</f>
        <v/>
      </c>
    </row>
    <row r="134">
      <c r="A134" s="44" t="n">
        <v>132</v>
      </c>
      <c r="B134" s="44">
        <f>Simulacion!B137</f>
        <v/>
      </c>
      <c r="C134" s="44">
        <f>Simulacion!G137</f>
        <v/>
      </c>
      <c r="D134" s="44">
        <f>Simulacion!N137</f>
        <v/>
      </c>
    </row>
    <row r="135">
      <c r="A135" s="44" t="n">
        <v>133</v>
      </c>
      <c r="B135" s="44">
        <f>Simulacion!B138</f>
        <v/>
      </c>
      <c r="C135" s="44">
        <f>Simulacion!G138</f>
        <v/>
      </c>
      <c r="D135" s="44">
        <f>Simulacion!N138</f>
        <v/>
      </c>
    </row>
    <row r="136">
      <c r="A136" s="44" t="n">
        <v>134</v>
      </c>
      <c r="B136" s="44">
        <f>Simulacion!B139</f>
        <v/>
      </c>
      <c r="C136" s="44">
        <f>Simulacion!G139</f>
        <v/>
      </c>
      <c r="D136" s="44">
        <f>Simulacion!N139</f>
        <v/>
      </c>
    </row>
    <row r="137">
      <c r="A137" s="44" t="n">
        <v>135</v>
      </c>
      <c r="B137" s="44">
        <f>Simulacion!B140</f>
        <v/>
      </c>
      <c r="C137" s="44">
        <f>Simulacion!G140</f>
        <v/>
      </c>
      <c r="D137" s="44">
        <f>Simulacion!N140</f>
        <v/>
      </c>
    </row>
    <row r="138">
      <c r="A138" s="44" t="n">
        <v>136</v>
      </c>
      <c r="B138" s="44">
        <f>Simulacion!B141</f>
        <v/>
      </c>
      <c r="C138" s="44">
        <f>Simulacion!G141</f>
        <v/>
      </c>
      <c r="D138" s="44">
        <f>Simulacion!N141</f>
        <v/>
      </c>
    </row>
    <row r="139">
      <c r="A139" s="44" t="n">
        <v>137</v>
      </c>
      <c r="B139" s="44">
        <f>Simulacion!B142</f>
        <v/>
      </c>
      <c r="C139" s="44">
        <f>Simulacion!G142</f>
        <v/>
      </c>
      <c r="D139" s="44">
        <f>Simulacion!N142</f>
        <v/>
      </c>
    </row>
    <row r="140">
      <c r="A140" s="44" t="n">
        <v>138</v>
      </c>
      <c r="B140" s="44">
        <f>Simulacion!B143</f>
        <v/>
      </c>
      <c r="C140" s="44">
        <f>Simulacion!G143</f>
        <v/>
      </c>
      <c r="D140" s="44">
        <f>Simulacion!N143</f>
        <v/>
      </c>
    </row>
    <row r="141">
      <c r="A141" s="44" t="n">
        <v>139</v>
      </c>
      <c r="B141" s="44">
        <f>Simulacion!B144</f>
        <v/>
      </c>
      <c r="C141" s="44">
        <f>Simulacion!G144</f>
        <v/>
      </c>
      <c r="D141" s="44">
        <f>Simulacion!N144</f>
        <v/>
      </c>
    </row>
    <row r="142">
      <c r="A142" s="44" t="n">
        <v>140</v>
      </c>
      <c r="B142" s="44">
        <f>Simulacion!B145</f>
        <v/>
      </c>
      <c r="C142" s="44">
        <f>Simulacion!G145</f>
        <v/>
      </c>
      <c r="D142" s="44">
        <f>Simulacion!N145</f>
        <v/>
      </c>
    </row>
    <row r="143">
      <c r="A143" s="44" t="n">
        <v>141</v>
      </c>
      <c r="B143" s="44">
        <f>Simulacion!B146</f>
        <v/>
      </c>
      <c r="C143" s="44">
        <f>Simulacion!G146</f>
        <v/>
      </c>
      <c r="D143" s="44">
        <f>Simulacion!N146</f>
        <v/>
      </c>
    </row>
    <row r="144">
      <c r="A144" s="44" t="n">
        <v>142</v>
      </c>
      <c r="B144" s="44">
        <f>Simulacion!B147</f>
        <v/>
      </c>
      <c r="C144" s="44">
        <f>Simulacion!G147</f>
        <v/>
      </c>
      <c r="D144" s="44">
        <f>Simulacion!N147</f>
        <v/>
      </c>
    </row>
    <row r="145">
      <c r="A145" s="44" t="n">
        <v>143</v>
      </c>
      <c r="B145" s="44">
        <f>Simulacion!B148</f>
        <v/>
      </c>
      <c r="C145" s="44">
        <f>Simulacion!G148</f>
        <v/>
      </c>
      <c r="D145" s="44">
        <f>Simulacion!N148</f>
        <v/>
      </c>
    </row>
    <row r="146">
      <c r="A146" s="44" t="n">
        <v>144</v>
      </c>
      <c r="B146" s="44">
        <f>Simulacion!B149</f>
        <v/>
      </c>
      <c r="C146" s="44">
        <f>Simulacion!G149</f>
        <v/>
      </c>
      <c r="D146" s="44">
        <f>Simulacion!N149</f>
        <v/>
      </c>
    </row>
    <row r="147">
      <c r="A147" s="44" t="n">
        <v>145</v>
      </c>
      <c r="B147" s="44">
        <f>Simulacion!B150</f>
        <v/>
      </c>
      <c r="C147" s="44">
        <f>Simulacion!G150</f>
        <v/>
      </c>
      <c r="D147" s="44">
        <f>Simulacion!N150</f>
        <v/>
      </c>
    </row>
    <row r="148">
      <c r="A148" s="44" t="n">
        <v>146</v>
      </c>
      <c r="B148" s="44">
        <f>Simulacion!B151</f>
        <v/>
      </c>
      <c r="C148" s="44">
        <f>Simulacion!G151</f>
        <v/>
      </c>
      <c r="D148" s="44">
        <f>Simulacion!N151</f>
        <v/>
      </c>
    </row>
    <row r="149">
      <c r="A149" s="44" t="n">
        <v>147</v>
      </c>
      <c r="B149" s="44">
        <f>Simulacion!B152</f>
        <v/>
      </c>
      <c r="C149" s="44">
        <f>Simulacion!G152</f>
        <v/>
      </c>
      <c r="D149" s="44">
        <f>Simulacion!N152</f>
        <v/>
      </c>
    </row>
    <row r="150">
      <c r="A150" s="44" t="n">
        <v>148</v>
      </c>
      <c r="B150" s="44">
        <f>Simulacion!B153</f>
        <v/>
      </c>
      <c r="C150" s="44">
        <f>Simulacion!G153</f>
        <v/>
      </c>
      <c r="D150" s="44">
        <f>Simulacion!N153</f>
        <v/>
      </c>
    </row>
    <row r="151">
      <c r="A151" s="44" t="n">
        <v>149</v>
      </c>
      <c r="B151" s="44">
        <f>Simulacion!B154</f>
        <v/>
      </c>
      <c r="C151" s="44">
        <f>Simulacion!G154</f>
        <v/>
      </c>
      <c r="D151" s="44">
        <f>Simulacion!N154</f>
        <v/>
      </c>
    </row>
    <row r="152">
      <c r="A152" s="44" t="n">
        <v>150</v>
      </c>
      <c r="B152" s="44">
        <f>Simulacion!B155</f>
        <v/>
      </c>
      <c r="C152" s="44">
        <f>Simulacion!G155</f>
        <v/>
      </c>
      <c r="D152" s="44">
        <f>Simulacion!N155</f>
        <v/>
      </c>
    </row>
    <row r="153">
      <c r="A153" s="44" t="n">
        <v>151</v>
      </c>
      <c r="B153" s="44">
        <f>Simulacion!B156</f>
        <v/>
      </c>
      <c r="C153" s="44">
        <f>Simulacion!G156</f>
        <v/>
      </c>
      <c r="D153" s="44">
        <f>Simulacion!N156</f>
        <v/>
      </c>
    </row>
    <row r="154">
      <c r="A154" s="44" t="n">
        <v>152</v>
      </c>
      <c r="B154" s="44">
        <f>Simulacion!B157</f>
        <v/>
      </c>
      <c r="C154" s="44">
        <f>Simulacion!G157</f>
        <v/>
      </c>
      <c r="D154" s="44">
        <f>Simulacion!N157</f>
        <v/>
      </c>
    </row>
    <row r="155">
      <c r="A155" s="44" t="n">
        <v>153</v>
      </c>
      <c r="B155" s="44">
        <f>Simulacion!B158</f>
        <v/>
      </c>
      <c r="C155" s="44">
        <f>Simulacion!G158</f>
        <v/>
      </c>
      <c r="D155" s="44">
        <f>Simulacion!N158</f>
        <v/>
      </c>
    </row>
    <row r="156">
      <c r="A156" s="44" t="n">
        <v>154</v>
      </c>
      <c r="B156" s="44">
        <f>Simulacion!B159</f>
        <v/>
      </c>
      <c r="C156" s="44">
        <f>Simulacion!G159</f>
        <v/>
      </c>
      <c r="D156" s="44">
        <f>Simulacion!N159</f>
        <v/>
      </c>
    </row>
    <row r="157">
      <c r="A157" s="44" t="n">
        <v>155</v>
      </c>
      <c r="B157" s="44">
        <f>Simulacion!B160</f>
        <v/>
      </c>
      <c r="C157" s="44">
        <f>Simulacion!G160</f>
        <v/>
      </c>
      <c r="D157" s="44">
        <f>Simulacion!N160</f>
        <v/>
      </c>
    </row>
    <row r="158">
      <c r="A158" s="44" t="n">
        <v>156</v>
      </c>
      <c r="B158" s="44">
        <f>Simulacion!B161</f>
        <v/>
      </c>
      <c r="C158" s="44">
        <f>Simulacion!G161</f>
        <v/>
      </c>
      <c r="D158" s="44">
        <f>Simulacion!N161</f>
        <v/>
      </c>
    </row>
    <row r="159">
      <c r="A159" s="44" t="n">
        <v>157</v>
      </c>
      <c r="B159" s="44">
        <f>Simulacion!B162</f>
        <v/>
      </c>
      <c r="C159" s="44">
        <f>Simulacion!G162</f>
        <v/>
      </c>
      <c r="D159" s="44">
        <f>Simulacion!N162</f>
        <v/>
      </c>
    </row>
    <row r="160">
      <c r="A160" s="44" t="n">
        <v>158</v>
      </c>
      <c r="B160" s="44">
        <f>Simulacion!B163</f>
        <v/>
      </c>
      <c r="C160" s="44">
        <f>Simulacion!G163</f>
        <v/>
      </c>
      <c r="D160" s="44">
        <f>Simulacion!N163</f>
        <v/>
      </c>
    </row>
    <row r="161">
      <c r="A161" s="44" t="n">
        <v>159</v>
      </c>
      <c r="B161" s="44">
        <f>Simulacion!B164</f>
        <v/>
      </c>
      <c r="C161" s="44">
        <f>Simulacion!G164</f>
        <v/>
      </c>
      <c r="D161" s="44">
        <f>Simulacion!N164</f>
        <v/>
      </c>
    </row>
    <row r="162">
      <c r="A162" s="44" t="n">
        <v>160</v>
      </c>
      <c r="B162" s="44">
        <f>Simulacion!B165</f>
        <v/>
      </c>
      <c r="C162" s="44">
        <f>Simulacion!G165</f>
        <v/>
      </c>
      <c r="D162" s="44">
        <f>Simulacion!N165</f>
        <v/>
      </c>
    </row>
    <row r="163">
      <c r="A163" s="44" t="n">
        <v>161</v>
      </c>
      <c r="B163" s="44">
        <f>Simulacion!B166</f>
        <v/>
      </c>
      <c r="C163" s="44">
        <f>Simulacion!G166</f>
        <v/>
      </c>
      <c r="D163" s="44">
        <f>Simulacion!N166</f>
        <v/>
      </c>
    </row>
    <row r="164">
      <c r="A164" s="44" t="n">
        <v>162</v>
      </c>
      <c r="B164" s="44">
        <f>Simulacion!B167</f>
        <v/>
      </c>
      <c r="C164" s="44">
        <f>Simulacion!G167</f>
        <v/>
      </c>
      <c r="D164" s="44">
        <f>Simulacion!N167</f>
        <v/>
      </c>
    </row>
    <row r="165">
      <c r="A165" s="44" t="n">
        <v>163</v>
      </c>
      <c r="B165" s="44">
        <f>Simulacion!B168</f>
        <v/>
      </c>
      <c r="C165" s="44">
        <f>Simulacion!G168</f>
        <v/>
      </c>
      <c r="D165" s="44">
        <f>Simulacion!N168</f>
        <v/>
      </c>
    </row>
    <row r="166">
      <c r="A166" s="44" t="n">
        <v>164</v>
      </c>
      <c r="B166" s="44">
        <f>Simulacion!B169</f>
        <v/>
      </c>
      <c r="C166" s="44">
        <f>Simulacion!G169</f>
        <v/>
      </c>
      <c r="D166" s="44">
        <f>Simulacion!N169</f>
        <v/>
      </c>
    </row>
    <row r="167">
      <c r="A167" s="44" t="n">
        <v>165</v>
      </c>
      <c r="B167" s="44">
        <f>Simulacion!B170</f>
        <v/>
      </c>
      <c r="C167" s="44">
        <f>Simulacion!G170</f>
        <v/>
      </c>
      <c r="D167" s="44">
        <f>Simulacion!N170</f>
        <v/>
      </c>
    </row>
    <row r="168">
      <c r="A168" s="44" t="n">
        <v>166</v>
      </c>
      <c r="B168" s="44">
        <f>Simulacion!B171</f>
        <v/>
      </c>
      <c r="C168" s="44">
        <f>Simulacion!G171</f>
        <v/>
      </c>
      <c r="D168" s="44">
        <f>Simulacion!N171</f>
        <v/>
      </c>
    </row>
    <row r="169">
      <c r="A169" s="44" t="n">
        <v>167</v>
      </c>
      <c r="B169" s="44">
        <f>Simulacion!B172</f>
        <v/>
      </c>
      <c r="C169" s="44">
        <f>Simulacion!G172</f>
        <v/>
      </c>
      <c r="D169" s="44">
        <f>Simulacion!N172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2026-06-08T17:20:37Z</dcterms:created>
  <dcterms:modified xmlns:dcterms="http://purl.org/dc/terms/" xmlns:xsi="http://www.w3.org/2001/XMLSchema-instance" xsi:type="dcterms:W3CDTF">2026-06-08T17:20:37Z</dcterms:modified>
</cp:coreProperties>
</file>