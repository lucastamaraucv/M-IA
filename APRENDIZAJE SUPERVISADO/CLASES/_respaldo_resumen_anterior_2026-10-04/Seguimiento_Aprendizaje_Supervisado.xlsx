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Lucas Tamara\Desktop\M IA\APRENDIZAJE SUPERVISADO\CLASES\resumen\"/>
    </mc:Choice>
  </mc:AlternateContent>
  <xr:revisionPtr revIDLastSave="0" documentId="13_ncr:1_{EA8B5201-9734-4C7A-9CCC-1BF81C12A38C}" xr6:coauthVersionLast="47" xr6:coauthVersionMax="47" xr10:uidLastSave="{00000000-0000-0000-0000-000000000000}"/>
  <bookViews>
    <workbookView xWindow="-120" yWindow="-120" windowWidth="29040" windowHeight="17520" activeTab="1" xr2:uid="{00000000-000D-0000-FFFF-FFFF00000000}"/>
  </bookViews>
  <sheets>
    <sheet name="Resumen" sheetId="1" r:id="rId1"/>
    <sheet name="Mapa de estudio"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6" i="1" l="1"/>
  <c r="M36" i="1"/>
  <c r="L36" i="1"/>
  <c r="J36" i="1"/>
  <c r="K36" i="1" s="1"/>
  <c r="N35" i="1"/>
  <c r="M35" i="1"/>
  <c r="L35" i="1"/>
  <c r="J35" i="1"/>
  <c r="K35" i="1" s="1"/>
  <c r="N34" i="1"/>
  <c r="M34" i="1"/>
  <c r="L34" i="1"/>
  <c r="J34" i="1"/>
  <c r="K34" i="1" s="1"/>
  <c r="N33" i="1"/>
  <c r="M33" i="1"/>
  <c r="L33" i="1"/>
  <c r="J33" i="1"/>
  <c r="K33" i="1" s="1"/>
  <c r="N32" i="1"/>
  <c r="M32" i="1"/>
  <c r="L32" i="1"/>
  <c r="K32" i="1"/>
  <c r="J32" i="1"/>
  <c r="N31" i="1"/>
  <c r="M31" i="1"/>
  <c r="L31" i="1"/>
  <c r="J31" i="1"/>
  <c r="K31" i="1" s="1"/>
  <c r="N30" i="1"/>
  <c r="M30" i="1"/>
  <c r="L30" i="1"/>
  <c r="J30" i="1"/>
  <c r="K30" i="1" s="1"/>
  <c r="N29" i="1"/>
  <c r="M29" i="1"/>
  <c r="L29" i="1"/>
  <c r="K29" i="1"/>
  <c r="J29" i="1"/>
  <c r="N28" i="1"/>
  <c r="M28" i="1"/>
  <c r="L28" i="1"/>
  <c r="J28" i="1"/>
  <c r="K28" i="1" s="1"/>
  <c r="G28" i="1"/>
  <c r="F28" i="1"/>
  <c r="E28" i="1"/>
  <c r="D28" i="1"/>
  <c r="C28" i="1"/>
  <c r="B28" i="1"/>
  <c r="N27" i="1"/>
  <c r="M27" i="1"/>
  <c r="L27" i="1"/>
  <c r="J27" i="1"/>
  <c r="K27" i="1" s="1"/>
  <c r="G27" i="1"/>
  <c r="F27" i="1"/>
  <c r="E27" i="1"/>
  <c r="D27" i="1"/>
  <c r="C27" i="1"/>
  <c r="B27" i="1"/>
  <c r="N26" i="1"/>
  <c r="M26" i="1"/>
  <c r="L26" i="1"/>
  <c r="J26" i="1"/>
  <c r="K26" i="1" s="1"/>
  <c r="G26" i="1"/>
  <c r="F26" i="1"/>
  <c r="E26" i="1"/>
  <c r="D26" i="1"/>
  <c r="C26" i="1"/>
  <c r="H26" i="1" s="1"/>
  <c r="B26" i="1"/>
  <c r="N25" i="1"/>
  <c r="M25" i="1"/>
  <c r="L25" i="1"/>
  <c r="J25" i="1"/>
  <c r="K25" i="1" s="1"/>
  <c r="G25" i="1"/>
  <c r="F25" i="1"/>
  <c r="E25" i="1"/>
  <c r="D25" i="1"/>
  <c r="C25" i="1"/>
  <c r="H25" i="1" s="1"/>
  <c r="B25" i="1"/>
  <c r="N24" i="1"/>
  <c r="M24" i="1"/>
  <c r="L24" i="1"/>
  <c r="J24" i="1"/>
  <c r="K24" i="1" s="1"/>
  <c r="G24" i="1"/>
  <c r="F24" i="1"/>
  <c r="E24" i="1"/>
  <c r="D24" i="1"/>
  <c r="C24" i="1"/>
  <c r="H24" i="1" s="1"/>
  <c r="B24" i="1"/>
  <c r="N23" i="1"/>
  <c r="M23" i="1"/>
  <c r="L23" i="1"/>
  <c r="J23" i="1"/>
  <c r="K23" i="1" s="1"/>
  <c r="N22" i="1"/>
  <c r="M22" i="1"/>
  <c r="L22" i="1"/>
  <c r="K22" i="1"/>
  <c r="J22" i="1"/>
  <c r="N21" i="1"/>
  <c r="M21" i="1"/>
  <c r="L21" i="1"/>
  <c r="J21" i="1"/>
  <c r="K21" i="1" s="1"/>
  <c r="N20" i="1"/>
  <c r="M20" i="1"/>
  <c r="L20" i="1"/>
  <c r="J20" i="1"/>
  <c r="K20" i="1" s="1"/>
  <c r="N19" i="1"/>
  <c r="M19" i="1"/>
  <c r="L19" i="1"/>
  <c r="J19" i="1"/>
  <c r="K19" i="1" s="1"/>
  <c r="N18" i="1"/>
  <c r="M18" i="1"/>
  <c r="L18" i="1"/>
  <c r="J18" i="1"/>
  <c r="K18" i="1" s="1"/>
  <c r="H18" i="1"/>
  <c r="G18" i="1"/>
  <c r="F18" i="1"/>
  <c r="E18" i="1"/>
  <c r="D18" i="1"/>
  <c r="N17" i="1"/>
  <c r="M17" i="1"/>
  <c r="L17" i="1"/>
  <c r="J17" i="1"/>
  <c r="K17" i="1" s="1"/>
  <c r="H17" i="1"/>
  <c r="G17" i="1"/>
  <c r="F17" i="1"/>
  <c r="E17" i="1"/>
  <c r="D17" i="1"/>
  <c r="N16" i="1"/>
  <c r="M16" i="1"/>
  <c r="L16" i="1"/>
  <c r="J16" i="1"/>
  <c r="K16" i="1" s="1"/>
  <c r="H16" i="1"/>
  <c r="G16" i="1"/>
  <c r="F16" i="1"/>
  <c r="E16" i="1"/>
  <c r="D16" i="1"/>
  <c r="B16" i="1"/>
  <c r="N15" i="1"/>
  <c r="M15" i="1"/>
  <c r="L15" i="1"/>
  <c r="J15" i="1"/>
  <c r="K15" i="1" s="1"/>
  <c r="H15" i="1"/>
  <c r="G15" i="1"/>
  <c r="F15" i="1"/>
  <c r="E15" i="1"/>
  <c r="D15" i="1"/>
  <c r="B15" i="1"/>
  <c r="N14" i="1"/>
  <c r="M14" i="1"/>
  <c r="L14" i="1"/>
  <c r="J14" i="1"/>
  <c r="K14" i="1" s="1"/>
  <c r="H14" i="1"/>
  <c r="G14" i="1"/>
  <c r="F14" i="1"/>
  <c r="E14" i="1"/>
  <c r="D14" i="1"/>
  <c r="B14" i="1"/>
  <c r="N13" i="1"/>
  <c r="M13" i="1"/>
  <c r="L13" i="1"/>
  <c r="J13" i="1"/>
  <c r="K13" i="1" s="1"/>
  <c r="H13" i="1"/>
  <c r="G13" i="1"/>
  <c r="F13" i="1"/>
  <c r="E13" i="1"/>
  <c r="D13" i="1"/>
  <c r="B13" i="1"/>
  <c r="N12" i="1"/>
  <c r="M12" i="1"/>
  <c r="L12" i="1"/>
  <c r="J12" i="1"/>
  <c r="K12" i="1" s="1"/>
  <c r="H12" i="1"/>
  <c r="G12" i="1"/>
  <c r="F12" i="1"/>
  <c r="E12" i="1"/>
  <c r="D12" i="1"/>
  <c r="B12" i="1"/>
  <c r="N11" i="1"/>
  <c r="M11" i="1"/>
  <c r="L11" i="1"/>
  <c r="J11" i="1"/>
  <c r="K11" i="1" s="1"/>
  <c r="H11" i="1"/>
  <c r="G11" i="1"/>
  <c r="F11" i="1"/>
  <c r="E11" i="1"/>
  <c r="D11" i="1"/>
  <c r="B11" i="1"/>
  <c r="N10" i="1"/>
  <c r="M10" i="1"/>
  <c r="L10" i="1"/>
  <c r="J10" i="1"/>
  <c r="K10" i="1" s="1"/>
  <c r="B10" i="1"/>
  <c r="N9" i="1"/>
  <c r="M9" i="1"/>
  <c r="L9" i="1"/>
  <c r="J9" i="1"/>
  <c r="K9" i="1" s="1"/>
  <c r="N8" i="1"/>
  <c r="M8" i="1"/>
  <c r="L8" i="1"/>
  <c r="J8" i="1"/>
  <c r="K8" i="1" s="1"/>
  <c r="N7" i="1"/>
  <c r="M7" i="1"/>
  <c r="L7" i="1"/>
  <c r="K7" i="1"/>
  <c r="J7" i="1"/>
  <c r="N6" i="1"/>
  <c r="M6" i="1"/>
  <c r="L6" i="1"/>
  <c r="J6" i="1"/>
  <c r="K6" i="1" s="1"/>
  <c r="G6" i="1"/>
  <c r="E6" i="1"/>
  <c r="C6" i="1"/>
  <c r="A6" i="1"/>
  <c r="N5" i="1"/>
  <c r="M5" i="1"/>
  <c r="L5" i="1"/>
  <c r="J5" i="1"/>
  <c r="K5" i="1" s="1"/>
  <c r="N4" i="1"/>
  <c r="M4" i="1"/>
  <c r="L4" i="1"/>
  <c r="J4" i="1"/>
  <c r="K4" i="1" s="1"/>
  <c r="N3" i="1"/>
  <c r="M3" i="1"/>
  <c r="L3" i="1"/>
  <c r="K3" i="1"/>
  <c r="J3" i="1"/>
  <c r="H28" i="1" l="1"/>
  <c r="H27" i="1"/>
  <c r="B29" i="1"/>
  <c r="D29" i="1"/>
  <c r="G29" i="1"/>
  <c r="F29" i="1"/>
  <c r="E29" i="1"/>
  <c r="C29" i="1"/>
  <c r="H29" i="1" l="1"/>
</calcChain>
</file>

<file path=xl/sharedStrings.xml><?xml version="1.0" encoding="utf-8"?>
<sst xmlns="http://schemas.openxmlformats.org/spreadsheetml/2006/main" count="1568" uniqueCount="677">
  <si>
    <t>APRENDIZAJE SUPERVISADO — SEGUIMIENTO DE ESTUDIO</t>
  </si>
  <si>
    <t>TODOS LOS TEMAS DEL CURSO — 34 temas (nivel 0 y 1, los 5 bloques)</t>
  </si>
  <si>
    <t>Código</t>
  </si>
  <si>
    <t>Bloque</t>
  </si>
  <si>
    <t>Tema</t>
  </si>
  <si>
    <t>Estado</t>
  </si>
  <si>
    <t>Prioridad</t>
  </si>
  <si>
    <t>Plan de estudio generado a partir de los resúmenes de clase (temas 1-5) y organizado según la metodología de tutor de aprendizaje acelerado v11. Todos los conceptos parten en estado Pendiente: actualízalos durante las sesiones de estudio reales con el prompt maestro de la carpeta resumen.</t>
  </si>
  <si>
    <t>Total conceptos</t>
  </si>
  <si>
    <t>Comprendidos / firmes</t>
  </si>
  <si>
    <t>Pendientes</t>
  </si>
  <si>
    <t>Débiles</t>
  </si>
  <si>
    <t>Cantidad</t>
  </si>
  <si>
    <t>TEMA EN CURSO — TEMA 1: FUNDAMENTOS Y PREPARACIÓN DE DATOS (ver los 5 temas completos en J:N)</t>
  </si>
  <si>
    <t>🟢 Firme</t>
  </si>
  <si>
    <t>Concepto</t>
  </si>
  <si>
    <t>Idea clave</t>
  </si>
  <si>
    <t>Siguiente</t>
  </si>
  <si>
    <t>🟢 Comprendido</t>
  </si>
  <si>
    <t>🟡 Repasar</t>
  </si>
  <si>
    <t>🟠 Iniciado</t>
  </si>
  <si>
    <t>🟠 Parcial</t>
  </si>
  <si>
    <t>⚪ Pendiente</t>
  </si>
  <si>
    <t>🔴 Débil</t>
  </si>
  <si>
    <t>Criterio de avance: ningún concepto se marca como dominado solo por haberlo leído aquí. Este mapa es un plan de estudio inicial (todo en Pendiente); el estado real se actualiza durante las sesiones de tutoría aplicando la regla 11 del prompt v11 (diagnóstico continuo: dominado = resuelvo con él un problema nuevo).</t>
  </si>
  <si>
    <t>PROGRESO POR BLOQUE — LOS 5 TEMAS DEL CURSO</t>
  </si>
  <si>
    <t>Total</t>
  </si>
  <si>
    <t>🟢 Dominado</t>
  </si>
  <si>
    <t>🟠 En progreso</t>
  </si>
  <si>
    <t>% Dominado</t>
  </si>
  <si>
    <t>1. Fundamentos y preparación de datos</t>
  </si>
  <si>
    <t>2. Validación de modelos y métricas</t>
  </si>
  <si>
    <t>3. Extracción de características</t>
  </si>
  <si>
    <t>4. Modelos de regresión</t>
  </si>
  <si>
    <t>5. Modelos de clasificación</t>
  </si>
  <si>
    <t>TOTAL CURSO</t>
  </si>
  <si>
    <t>Orden pedagógico del curso: Bloque 1 → 2 → 3 → 4 → 5 (respeta el orden real de las carpetas tema1-tema5 del repositorio). El bloque 3 (Extracción de características) va antes de los modelos de regresión/clasificación porque construye las variables/features que luego usan los temas 4 y 5. Ninguno está iniciado todavía.</t>
  </si>
  <si>
    <t>Tema / concepto</t>
  </si>
  <si>
    <t>Nivel</t>
  </si>
  <si>
    <t>Qué significa / evidencia actual</t>
  </si>
  <si>
    <t>Siguiente paso</t>
  </si>
  <si>
    <t>Actualizado</t>
  </si>
  <si>
    <t>Fuente</t>
  </si>
  <si>
    <t>1</t>
  </si>
  <si>
    <t>FUNDAMENTOS Y PREPARACIÓN DE DATOS</t>
  </si>
  <si>
    <t>Primer bloque del curso: metodología CRISP-DM para estructurar el proyecto, tipos de aprendizaje, estructura de un dataset (instancias/atributos/clase) y las 4 técnicas de limpieza de datos (normalización/estandarización, outliers, imputación, selección de atributos). Base obligatoria antes de entrenar cualquier modelo.</t>
  </si>
  <si>
    <t>Repasar CRISP-DM y tipos de aprendizaje primero; luego las 4 técnicas de limpieza en orden (normalización, outliers, imputación, selección).</t>
  </si>
  <si>
    <t>Alta</t>
  </si>
  <si>
    <t>27/09/2026</t>
  </si>
  <si>
    <t>resumen_cap1_tema1.txt</t>
  </si>
  <si>
    <t>1.1</t>
  </si>
  <si>
    <t>Metodología CRISP-DM</t>
  </si>
  <si>
    <t>Es el proceso estándar más usado en minería de datos para estructurar un proyecto de aprendizaje automático, de principio a fin. Tiene 6 fases con dependencias secuenciales y cíclicas (puede haber iteraciones).</t>
  </si>
  <si>
    <t>Aplicar las 6 fases a un caso real y ubicar en qué fase encaja cada tarea del curso (limpieza, modelado, evaluación).</t>
  </si>
  <si>
    <t>1.1.a</t>
  </si>
  <si>
    <t>Fase 1: Comprensión del negocio</t>
  </si>
  <si>
    <t>Primera fase, recurrente durante todo el proyecto: determinar objetivos de negocio y criterios de éxito, evaluar la situación actual, traducir objetivos de negocio a metas técnicas y producir un plan de proyecto.</t>
  </si>
  <si>
    <t>Media</t>
  </si>
  <si>
    <t>1.1.b</t>
  </si>
  <si>
    <t>Fase 2: Comprensión de los datos</t>
  </si>
  <si>
    <t>Recolección y exploración inicial de los datos: describirlos, explorarlos (estadística descriptiva, histogramas) y verificar su calidad (nulos, valores fuera de rango). Reduce el tiempo global del proyecto.</t>
  </si>
  <si>
    <t>1.1.c</t>
  </si>
  <si>
    <t>Fase 3: Preparación de los datos</t>
  </si>
  <si>
    <t>La fase MÁS CRÍTICA: seleccionar, limpiar y construir los datos preparados para el modelado (normalización, outliers, imputación, selección de atributos). Los errores no detectados aquí se arrastran al modelado.</t>
  </si>
  <si>
    <t>1.1.d</t>
  </si>
  <si>
    <t>Fase 4: Modelado</t>
  </si>
  <si>
    <t>Fase central y foco de la asignatura: seleccionar algoritmos, generar el plan de prueba (parámetros, métricas, validación), construir los modelos y evaluar resultados técnicamente.</t>
  </si>
  <si>
    <t>1.1.e</t>
  </si>
  <si>
    <t>Fase 5: Evaluación de negocio</t>
  </si>
  <si>
    <t>Se evalúan los modelos frente a los criterios de éxito de negocio definidos al inicio, se revisa el proceso y se decide si finalizar, iterar o abrir nuevos (sub)proyectos.</t>
  </si>
  <si>
    <t>1.1.f</t>
  </si>
  <si>
    <t>Fase 6: Despliegue</t>
  </si>
  <si>
    <t>El conocimiento obtenido se transforma en acciones dentro del negocio: planear implementación, monitorizar y mantener, crear informe final y revisar el proyecto.</t>
  </si>
  <si>
    <t>1.1.g</t>
  </si>
  <si>
    <t>Roles en ciencia de datos</t>
  </si>
  <si>
    <t>Cuatro roles típicos de un equipo de datos: director técnico (data scientist chief), científico de datos (data scientist), analista de datos (data analyst) e ingeniero de datos (data engineer).</t>
  </si>
  <si>
    <t>Baja</t>
  </si>
  <si>
    <t>1.2</t>
  </si>
  <si>
    <t>Tipos de aprendizaje (supervisado / no supervisado / otros)</t>
  </si>
  <si>
    <t>Distinción fundamental: si el dataset tiene una variable de salida es aprendizaje supervisado (predicción/inferencia); si no la tiene, es no supervisado. Existen además variantes intermedias (semisupervisado, refuerzo).</t>
  </si>
  <si>
    <t>Practicar clasificando problemas reales como regresión, clasificación, clustering o reglas de asociación.</t>
  </si>
  <si>
    <t>1.2.a</t>
  </si>
  <si>
    <t>Aprendizaje supervisado: regresión vs. clasificación</t>
  </si>
  <si>
    <t>Se estima la variable de salida en función del resto. Si la salida es numérica es regresión; si es categórica (etiqueta) es clasificación. Todas las filas deben tener valor en la salida.</t>
  </si>
  <si>
    <t>1.2.b</t>
  </si>
  <si>
    <t>Aprendizaje no supervisado: clustering y reglas de asociación</t>
  </si>
  <si>
    <t>Sin variable de salida, no es predicción. Clustering agrupa datos similares; reglas de asociación relacionan variables mediante causa-efecto (antecedente/consecuente), útiles para recomendación.</t>
  </si>
  <si>
    <t>1.2.c</t>
  </si>
  <si>
    <t>Reducción de dimensionalidad</t>
  </si>
  <si>
    <t>Puede ser supervisada o no supervisada. Reduce el volumen de datos (filas/columnas o transformando el espacio de valores) buscando mantener la eficacia y aumentar la eficiencia.</t>
  </si>
  <si>
    <t>1.2.d</t>
  </si>
  <si>
    <t>Aprendizaje semisupervisado</t>
  </si>
  <si>
    <t>Hay variable de salida, pero no todas las filas tienen valor para ella. En vez de eliminar esas filas, se construyen modelos que aprovechan todos los datos disponibles.</t>
  </si>
  <si>
    <t>1.2.e</t>
  </si>
  <si>
    <t>Aprendizaje por refuerzo</t>
  </si>
  <si>
    <t>El algoritmo recibe una valoración sobre su respuesta, no el valor exacto correcto como en supervisado. Cuando acierta se parece a supervisado; cuando falla solo sabe que fue inadecuado.</t>
  </si>
  <si>
    <t>1.2.f</t>
  </si>
  <si>
    <t>Frontera de decisión / frontera bayesiana</t>
  </si>
  <si>
    <t>En el caso ideal (se conocen las distribuciones) se puede calcular la frontera óptima analíticamente; en el caso real solo hay una muestra, y la frontera estimada mejora al aumentar el número de datos.</t>
  </si>
  <si>
    <t>1.3</t>
  </si>
  <si>
    <t>Estructura de datos: instancias, atributos y clase</t>
  </si>
  <si>
    <t>La tabla de datos (dataset) es la estructura fundamental: filas = instancias, columnas = atributos (más la clase, que es la variable de salida). Notación formal: X (atributos), y (clase).</t>
  </si>
  <si>
    <t>Practicar identificando instancias, atributos y clase en un dataset real como iris o penguins.</t>
  </si>
  <si>
    <t>1.3.a</t>
  </si>
  <si>
    <t>Instancia</t>
  </si>
  <si>
    <t>Cada FILA de la tabla de datos (también llamada ejemplo, muestra, observación o punto).</t>
  </si>
  <si>
    <t>1.3.b</t>
  </si>
  <si>
    <t>Atributo / característica</t>
  </si>
  <si>
    <t>Cada columna de la tabla excepto la clase (también llamada característica, feature, variable de entrada o predictora).</t>
  </si>
  <si>
    <t>1.3.c</t>
  </si>
  <si>
    <t>Clase / variable objetivo</t>
  </si>
  <si>
    <t>La variable de salida usada en aprendizaje supervisado (también etiqueta, target, respuesta). Numérica en regresión, categórica en clasificación.</t>
  </si>
  <si>
    <t>1.3.d</t>
  </si>
  <si>
    <t>Notación formal X, y, eᵢ, xⱼ, xᵢⱼ</t>
  </si>
  <si>
    <t>X es la matriz de p atributos × n instancias; y es el vector de la clase; eᵢ es la instancia i; xⱼ es el atributo j; xᵢⱼ es el valor del atributo j para la instancia i. Fórmula/Cómo: X (n instancias × p atributos), y (vector de clase)</t>
  </si>
  <si>
    <t>1.3.e</t>
  </si>
  <si>
    <t>Parámetros vs. hiperparámetros</t>
  </si>
  <si>
    <t>Los parámetros pertenecen al modelo y se ajustan durante el entrenamiento; los hiperparámetros pertenecen al algoritmo de aprendizaje, se fijan antes de entrenar y quedan constantes.</t>
  </si>
  <si>
    <t>1.3.f</t>
  </si>
  <si>
    <t>Características de un conjunto de datos</t>
  </si>
  <si>
    <t>Al iniciar un proyecto se anota: número de instancias, número de atributos, tipo/dominio de cada uno, tipo y dominio de la clase, y cantidad de valores ausentes (ej. iris: 150 instancias, 4 atributos, 3 clases, 0 ausentes).</t>
  </si>
  <si>
    <t>1.4</t>
  </si>
  <si>
    <t>Limpieza de datos — introducción</t>
  </si>
  <si>
    <t>Tarea fundamental dentro de la fase de preparación de datos de CRISP-DM: elimina defectos y adapta los datos para que expongan sus patrones con la mayor nitidez posible antes del modelado.</t>
  </si>
  <si>
    <t>Repasar junto con las 4 técnicas concretas (normalización, outliers, imputación, selección) que desarrollan esta fase.</t>
  </si>
  <si>
    <t>1.4.a</t>
  </si>
  <si>
    <t>Técnicas de fila, columna o matriz completa</t>
  </si>
  <si>
    <t>Según la parte de la tabla sobre la que actúan: de fila, de columna (ej. la normalización actúa sobre toda una columna) o de matriz completa.</t>
  </si>
  <si>
    <t>1.4.b</t>
  </si>
  <si>
    <t>Limpieza supervisada vs. no supervisada</t>
  </si>
  <si>
    <t>Igual que el aprendizaje automático, las técnicas de limpieza pueden requerir o no la presencia de una clase.</t>
  </si>
  <si>
    <t>1.5</t>
  </si>
  <si>
    <t>Normalización y estandarización</t>
  </si>
  <si>
    <t>Dos técnicas para llevar los atributos numéricos a una escala común (centrar y escalar), evitando que un atributo con mayor escala domine artificialmente sobre otro de igual importancia real. Fórmula/Cómo: Normalización: x_N=(x-min)/(max-min); Estandarización: x_S=(x-media)/desviación</t>
  </si>
  <si>
    <t>Practicar aplicando MinMaxScaler y StandardScaler con fit en train y transform en test.</t>
  </si>
  <si>
    <t>1.5.a</t>
  </si>
  <si>
    <t>Normalización</t>
  </si>
  <si>
    <t>Lleva los valores de un atributo al rango [0,1] mediante homotecia (resta del mínimo = centrado, división por el rango = escalado). Se aplica columna por columna. Fórmula/Cómo: x_ij^N = (x_ij - min(x_i)) / (max(x_i) - min(x_i))</t>
  </si>
  <si>
    <t>1.5.b</t>
  </si>
  <si>
    <t>Estandarización</t>
  </si>
  <si>
    <t>Transforma un atributo para que tenga media y desviación típica determinadas (centrado en la media). A diferencia de la normalización, no queda acotada a un rango fijo. Fórmula/Cómo: x_ij^S = (x_ij - media(x_i)) / desviación(x_i)</t>
  </si>
  <si>
    <t>1.5.c</t>
  </si>
  <si>
    <t>Cuándo usar cada técnica</t>
  </si>
  <si>
    <t>Normalización cuando el algoritmo NO presupone una distribución de los datos; estandarización cuando el algoritmo SÍ presupone que los datos siguen una distribución normal.</t>
  </si>
  <si>
    <t>1.5.d</t>
  </si>
  <si>
    <t>Evitar fuga de información (data leakage)</t>
  </si>
  <si>
    <t>Al dividir en train/test hay que ajustar (fit) el normalizador/estandarizador SOLO con train, y aplicar (transform) esa misma transformación sobre test, sin reajustar sobre test.</t>
  </si>
  <si>
    <t>1.6</t>
  </si>
  <si>
    <t>Detección de outliers</t>
  </si>
  <si>
    <t>Identificar valores anómalos fuera de la distribución natural de los datos, que pueden reducir la eficacia de los modelos. El límite entre outlier y no-outlier suele ser difuso.</t>
  </si>
  <si>
    <t>Practicar EllipticEnvelope y el método boxplot sobre el dataset outliers.csv.</t>
  </si>
  <si>
    <t>1.6.a</t>
  </si>
  <si>
    <t>Envolvente elíptica (EllipticEnvelope)</t>
  </si>
  <si>
    <t>Presupone datos con distribución normal; crea elipses alrededor de los puntos 'normales'. Cuanto mayor la elipse que engloba un punto, mayor su distancia y su probabilidad de ser outlier. Fórmula/Cómo: sklearn.covariance.EllipticEnvelope</t>
  </si>
  <si>
    <t>1.6.b</t>
  </si>
  <si>
    <t>Mediana e IQR como base del cálculo</t>
  </si>
  <si>
    <t>Las elipses se centran y escalan respecto a la mediana y el rango intercuartílico (IQR), en vez de la media, porque la media se distorsiona con los propios outliers. Fórmula/Cómo: IQR = P75 - P25; umbral típico: mediana ± 1,5·IQR o ± 3·IQR</t>
  </si>
  <si>
    <t>1.6.c</t>
  </si>
  <si>
    <t>Umbral por percentil vs. contamination fijo</t>
  </si>
  <si>
    <t>El PDF usa decision_function() + scoreatpercentile(25) para fijar el umbral; el notebook usa predict() con contamination=0.25 fijo (misma clase, técnica distinta de fijar el umbral).</t>
  </si>
  <si>
    <t>1.6.d</t>
  </si>
  <si>
    <t>Método boxplot / cajas y bigotes</t>
  </si>
  <si>
    <t>Técnica solo del notebook: usa Q1, Q3, IQR y límites superior/inferior para marcar como outlier todo valor fuera de esos límites. Fórmula/Cómo: límite superior = P75+1.5·IQR; límite inferior = P25-1.5·IQR</t>
  </si>
  <si>
    <t>1.6.e</t>
  </si>
  <si>
    <t>Otros detectores de outliers</t>
  </si>
  <si>
    <t>Alternativas de sklearn con el mismo patrón fit/predict: IsolationForest, LocalOutlierFactor, OneClassSVM.</t>
  </si>
  <si>
    <t>1.7</t>
  </si>
  <si>
    <t>Imputación de valores ausentes</t>
  </si>
  <si>
    <t>Reemplazar valores ausentes (missing values / NaN) por valores estimados, en vez de eliminar instancias completas, para no perder información.</t>
  </si>
  <si>
    <t>Practicar SimpleImputer sobre datos reales (penguins.csv) con fit/transform.</t>
  </si>
  <si>
    <t>1.7.a</t>
  </si>
  <si>
    <t>Valores ausentes (missing values)</t>
  </si>
  <si>
    <t>Huecos en los datos por información no recabada, no disponible o errónea y eliminada. En Python se representan con np.nan.</t>
  </si>
  <si>
    <t>1.7.b</t>
  </si>
  <si>
    <t>Por qué no eliminar simplemente las filas</t>
  </si>
  <si>
    <t>La mayoría de algoritmos de sklearn no toleran valores ausentes, pero eliminar todas las instancias afectadas puede suponer una pérdida importante de información; por eso se prefiere imputar.</t>
  </si>
  <si>
    <t>1.7.c</t>
  </si>
  <si>
    <t>Imputación por media, mediana o moda</t>
  </si>
  <si>
    <t>Técnica más simple: sustituir el valor ausente por la media/mediana del atributo si es numérico, o por la moda si es categórico. Existen técnicas más complejas basadas en modelos de aprendizaje supervisado. Fórmula/Cómo: sklearn.impute.SimpleImputer(strategy='mean'/'median'/'most_frequent')</t>
  </si>
  <si>
    <t>1.7.d</t>
  </si>
  <si>
    <t>Fit sobre train, transform sobre train y test</t>
  </si>
  <si>
    <t>El imputador se ajusta (fit) sobre los datos de entrenamiento, y esa misma transformación se aplica (transform) tanto a train como a test, igual que en normalización/estandarización.</t>
  </si>
  <si>
    <t>1.8</t>
  </si>
  <si>
    <t>Selección de atributos</t>
  </si>
  <si>
    <t>Subtarea de la reducción de dimensionalidad: elimina atributos poco útiles usando un algoritmo de evaluación que mide su 'bondad', ya sea de forma individual (univariante) o en conjunto (multivariante).</t>
  </si>
  <si>
    <t>Practicar VarianceThreshold, f_regression y mutual_info_regression sobre datos sintéticos y iris.</t>
  </si>
  <si>
    <t>1.8.a</t>
  </si>
  <si>
    <t>Evaluación univariante vs. multivariante</t>
  </si>
  <si>
    <t>Univariante evalúa cada atributo individualmente; multivariante evalúa conjuntos de atributos juntos. Un atributo puede tener baja bondad individual pero ser clave combinado con otros; multivariante es más costoso pero más preciso.</t>
  </si>
  <si>
    <t>1.8.b</t>
  </si>
  <si>
    <t>Selección supervisada vs. no supervisada</t>
  </si>
  <si>
    <t>Supervisada: se analiza el atributo junto con la variable objetivo (puede estar definida solo para clasificación, solo regresión, o ambas). No supervisada: se analiza el atributo de forma independiente a la clase.</t>
  </si>
  <si>
    <t>1.8.c</t>
  </si>
  <si>
    <t>Baja varianza (VarianceThreshold)</t>
  </si>
  <si>
    <t>Técnica no supervisada: elimina atributos cuyos valores son prácticamente constantes, asumiendo que no aportan información predictiva. Fórmula/Cómo: sklearn.feature_selection.VarianceThreshold(threshold=...); S² = Σ(xi-x̄)²/(n-1)</t>
  </si>
  <si>
    <t>1.8.d</t>
  </si>
  <si>
    <t>F-test</t>
  </si>
  <si>
    <t>Técnica supervisada univariante: mide el grado de dependencia LINEAL entre un atributo y la clase; útil para detectar correlación lineal. Fórmula/Cómo: sklearn.feature_selection.f_regression</t>
  </si>
  <si>
    <t>1.8.e</t>
  </si>
  <si>
    <t>Información mutua</t>
  </si>
  <si>
    <t>Técnica supervisada univariante: mide cualquier tipo de dependencia estadística (lineal o no lineal) entre un atributo y la clase, pero necesita más instancias para ser fiable. Fórmula/Cómo: sklearn.feature_selection.mutual_info_regression</t>
  </si>
  <si>
    <t>2</t>
  </si>
  <si>
    <t>VALIDACIÓN DE MODELOS Y MÉTRICAS DE EVALUACIÓN</t>
  </si>
  <si>
    <t>Cómo separar datos en entrenamiento/test, evitar sobreajuste/subajuste, validar con hold-out/k-fold/validación anidada, y medir el desempeño con métricas de regresión (MAE/MSE/RMSE/MAPE/R2) y de clasificación (matriz de confusión, precisión, sensibilidad, F1). Imprescindible para evaluar cualquier modelo de los temas 4 y 5.</t>
  </si>
  <si>
    <t>Dominar k-fold y la matriz de confusión (con sus 4 métricas derivadas) antes de avanzar a los modelos de los temas 4 y 5.</t>
  </si>
  <si>
    <t>resumen_cap2_tema2.txt</t>
  </si>
  <si>
    <t>2.1</t>
  </si>
  <si>
    <t>Introducción: entrenamiento, test, sobreajuste y subajuste</t>
  </si>
  <si>
    <t>Desde el capítulo 2 se estudian 4 algoritmos (regresión lineal, KNN, regresión logística, árboles). Se separan los datos en entrenamiento (para aprender) y test (para evaluar sobre ejemplos nunca vistos); esa separación es la base de toda validación.</t>
  </si>
  <si>
    <t>Distinguir claramente overfitting de underfitting con un ejemplo propio antes de pasar a hold-out.</t>
  </si>
  <si>
    <t>2.1.a</t>
  </si>
  <si>
    <t>Conjunto de entrenamiento y conjunto de test</t>
  </si>
  <si>
    <t>Entrenamiento = datos que usa el algoritmo para aprender el modelo. Test = datos nunca vistos en el entrenamiento, usados solo para evaluar. El test no debe contener ninguna instancia del entrenamiento.</t>
  </si>
  <si>
    <t>2.1.b</t>
  </si>
  <si>
    <t>Sobreajuste (overfitting)</t>
  </si>
  <si>
    <t>El modelo 'memoriza' el entrenamiento: error de entrenamiento muy bajo pero error de generalización (test) alto.</t>
  </si>
  <si>
    <t>2.1.c</t>
  </si>
  <si>
    <t>Subajuste (underfitting)</t>
  </si>
  <si>
    <t>El modelo aprende un concepto demasiado general: error de entrenamiento y de test altos y parecidos entre sí.</t>
  </si>
  <si>
    <t>2.1.d</t>
  </si>
  <si>
    <t>Compromiso sesgo-varianza (bias-variance tradeoff)</t>
  </si>
  <si>
    <t>Alto sesgo = underfitting (ni ajusta el entrenamiento). Alta varianza = overfitting (ajusta muy bien entrenamiento pero falla en datos nuevos). El puntaje de entrenamiento siempre es mayor que el de validación; existe un punto de complejidad óptimo intermedio.</t>
  </si>
  <si>
    <t>2.1.e</t>
  </si>
  <si>
    <t>Validación (definición general) y métricas base</t>
  </si>
  <si>
    <t>Validación = proceso de dividir los datos en subconjuntos de entrenamiento y test para evaluar bien los algoritmos. Se introducen dos métricas base: MAE (regresión) y Exactitud/accuracy (clasificación). Fórmula/Cómo: MAE = (1/n)·Σ|y_i - ŷ_i|  |  Exactitud(%) = 100·(1/n)·Σ[y_i = ŷ_i]</t>
  </si>
  <si>
    <t>2.2</t>
  </si>
  <si>
    <t>Validación hold-out</t>
  </si>
  <si>
    <t>Divide el dataset en dos partes (train/test) una sola vez, con un reparto típico 66/34 o 70/30.</t>
  </si>
  <si>
    <t>Reproducir el Programa 7 (iris + DummyClassifier) a mano para fijar train_test_split.</t>
  </si>
  <si>
    <t>2.2.a</t>
  </si>
  <si>
    <t>Hold-out no aleatorio</t>
  </si>
  <si>
    <t>Se toma el primer X% de las muestras (respetando el orden) para entrenamiento y el resto para test. Útil cuando hay dependencia entre muestras, p. ej. series temporales.</t>
  </si>
  <si>
    <t>2.2.b</t>
  </si>
  <si>
    <t>Hold-out aleatorio</t>
  </si>
  <si>
    <t>Se reordenan aleatoriamente las muestras y luego se hace el corte train/test. Recomendable cuando no hay dependencias de orden.</t>
  </si>
  <si>
    <t>2.2.c</t>
  </si>
  <si>
    <t>train_test_split (código real)</t>
  </si>
  <si>
    <t>Función de sklearn que reparte X e y en train/test. test_size fija la proporción de test, random_state fija la semilla de aleatoriedad, shuffle=False conserva el orden original. Fórmula/Cómo: X_train, X_test, y_train, y_test = train_test_split(X, y, test_size=0.3, random_state=0)</t>
  </si>
  <si>
    <t>2.2.d</t>
  </si>
  <si>
    <t>Partición train/test fijada por el problema</t>
  </si>
  <si>
    <t>A veces la partición viene ya dada (para comparar con resultados de otros trabajos); también se considera una forma de hold-out.</t>
  </si>
  <si>
    <t>2.3</t>
  </si>
  <si>
    <t>Validación cruzada / K-fold</t>
  </si>
  <si>
    <t>Corrige la baja representatividad del hold-out: parte los datos en K bolsas (folds) de igual tamaño y hace K validaciones hold-out, usando cada vez una bolsa distinta como test.</t>
  </si>
  <si>
    <t>Ejecutar mentalmente el ejemplo KFold(n_splits=3) sobre 10 elementos para ver por qué las bolsas no quedan exactamente iguales.</t>
  </si>
  <si>
    <t>2.3.a</t>
  </si>
  <si>
    <t>K bolsas (folds)</t>
  </si>
  <si>
    <t>El dataset se divide en K subconjuntos de tamaño aprox. n/K. En cada una de las K iteraciones, una bolsa distinta hace de test y el resto de entrenamiento. Fórmula/Cómo: Ej: 150 ejemplos (iris), K=10 → cada bolsa tiene 15 ejemplos.</t>
  </si>
  <si>
    <t>2.3.b</t>
  </si>
  <si>
    <t>Leave-one-out</t>
  </si>
  <si>
    <t>2.3.c</t>
  </si>
  <si>
    <t>Validación estratificada</t>
  </si>
  <si>
    <t>2.3.d</t>
  </si>
  <si>
    <t>cross_val_score / KFold (código real)</t>
  </si>
  <si>
    <t>cross_val_score() recibe el estimador, X, y, y el objeto cv (p. ej. KFold(n_splits=10)) y devuelve un array con K valores de exactitud, uno por bolsa, que se resumen con media y desviación típica. Fórmula/Cómo: evaluacion = cross_val_score(clf, X, y, cv=KFold(n_splits=10))</t>
  </si>
  <si>
    <t>2.3.e</t>
  </si>
  <si>
    <t>Bootstrapping / out-of-bag (OOB)</t>
  </si>
  <si>
    <t>Tercera forma de re-muestreo: se seleccionan instancias con reemplazo hasta un tamaño fijo para entrenar; las no elegidas pasan a test y se llaman 'out of bag'. Nunca hay instancias repetidas entre train y test. Fórmula/Cómo: boot = resample(data, replace=True, n_samples=N)</t>
  </si>
  <si>
    <t>2.4</t>
  </si>
  <si>
    <t>Ajuste de parámetros y validación anidada</t>
  </si>
  <si>
    <t>Encontrar la mejor configuración de hiperparámetros de un algoritmo (hyperparameter tuning), sin usar nunca el test para esa búsqueda, para no perder la capacidad de medir generalización.</t>
  </si>
  <si>
    <t>Explicar con palabras propias por qué el test debe quedar aislado del ajuste antes de ver validación anidada.</t>
  </si>
  <si>
    <t>2.4.a</t>
  </si>
  <si>
    <t>Regla: el test nunca se usa para ajustar parámetros</t>
  </si>
  <si>
    <t>El ajuste de parámetros nunca debe maximizar la bondad sobre el conjunto de test; el test debe permanecer aislado durante todo el entrenamiento y ajuste para evitar sobreajuste.</t>
  </si>
  <si>
    <t>2.4.b</t>
  </si>
  <si>
    <t>Test de validación (validation test)</t>
  </si>
  <si>
    <t>Subconjunto extraído del propio entrenamiento, usado para comparar configuraciones de modelo sin tocar el test independiente. El modelo final se evalúa una sola vez con el test real.</t>
  </si>
  <si>
    <t>2.4.c</t>
  </si>
  <si>
    <t>Validación anidada (nested validation)</t>
  </si>
  <si>
    <t>Combina dos niveles: validación externa (partición original train/test) y validación interna (CV dentro del propio train, usada para el ajuste de parámetros). Tras hallar los mejores parámetros, se reentrena con todo el train y se evalúa una vez en el test independiente.</t>
  </si>
  <si>
    <t>2.4.d</t>
  </si>
  <si>
    <t>Curvas de validación y de aprendizaje</t>
  </si>
  <si>
    <t>La curva de validación muestra cómo cambian el puntaje de entrenamiento y de validación al variar un hiperparámetro (p. ej. grado del polinomio). La curva de aprendizaje muestra lo mismo al variar el tamaño del conjunto de entrenamiento, con el hiperparámetro fijo. Fórmula/Cómo: validation_curve(...); learning_curve(...)</t>
  </si>
  <si>
    <t>2.5</t>
  </si>
  <si>
    <t>Evaluación en regresión: MAE, MSE, RMSE, MAPE</t>
  </si>
  <si>
    <t>Métricas para medir qué tan lejos quedan las predicciones numéricas de los valores reales. MAE y RMSE son absolutas (misma unidad que la clase); MAPE es relativa (porcentaje).</t>
  </si>
  <si>
    <t>Construir una tabla de variables comparando MAE/MSE/RMSE/MAPE antes de memorizar fórmulas sueltas.</t>
  </si>
  <si>
    <t>2.5.a</t>
  </si>
  <si>
    <t>MAE (error absoluto medio)</t>
  </si>
  <si>
    <t>Promedio de las diferencias absolutas entre predicción y valor real. Métrica absoluta: misma unidad que la variable de clase. Fórmula/Cómo: MAE = (1/n)·Σ|y_i - ŷ_i|</t>
  </si>
  <si>
    <t>2.5.b</t>
  </si>
  <si>
    <t>MSE (error cuadrático medio)</t>
  </si>
  <si>
    <t>Promedio de las diferencias al cuadrado entre predicción y real; es RMSE sin la raíz. Fórmula/Cómo: MSE = (1/m)·Σ(ŷ_i - y_i)^2</t>
  </si>
  <si>
    <t>2.5.c</t>
  </si>
  <si>
    <t>RMSE (raíz del error cuadrático medio)</t>
  </si>
  <si>
    <t>Como MAE pero elevando al cuadrado antes de promediar: los errores grandes pesan mucho más que en MAE. Fórmula/Cómo: RMSE = sqrt((1/n)·Σ(y_i - ŷ_i)^2)</t>
  </si>
  <si>
    <t>2.5.d</t>
  </si>
  <si>
    <t>MAPE (error porcentual absoluto medio)</t>
  </si>
  <si>
    <t>Mide el error en porcentaje relativo al valor real, útil para comparar errores entre escalas distintas. Fórmula/Cómo: MAPE(%) = 100·(1/n)·Σ|y_i - ŷ_i|/y_i</t>
  </si>
  <si>
    <t>2.5.e</t>
  </si>
  <si>
    <t>make_scorer y greater_is_better</t>
  </si>
  <si>
    <t>sklearn asume por defecto que 'mayor valor = mejor'; como RMSE/MAPE son errores (menor = mejor), hay que pasar greater_is_better=False al construir la métrica con make_scorer(). cross_validate() permite evaluar varias métricas a la vez. Fórmula/Cómo: make_scorer(func, greater_is_better=False)</t>
  </si>
  <si>
    <t>2.6</t>
  </si>
  <si>
    <t>Evaluación en clasificación: matriz de confusión, precisión, sensibilidad, F1, accuracy</t>
  </si>
  <si>
    <t>En clasificación solo importa acierto/fallo de la clase (no un grado de error como en regresión). La matriz de confusión es la base de todas las demás métricas.</t>
  </si>
  <si>
    <t>Practicar leyendo una matriz de confusión 2x2 y derivando TP/TN/FP/FN antes de calcular precisión/recall/F1.</t>
  </si>
  <si>
    <t>2.6.a</t>
  </si>
  <si>
    <t>Matriz de confusión</t>
  </si>
  <si>
    <t>Matriz cuadrada de orden = número de clases; la celda P_i,j cuenta las predicciones cuya clase real es Ci y la predicha es Cj. Los aciertos son la suma de la diagonal. Fórmula/Cómo: Aciertos = Σ P_i,i ; Fallos = n − Σ P_i,i</t>
  </si>
  <si>
    <t>2.6.b</t>
  </si>
  <si>
    <t>TP / TN / FP / FN (caso binario)</t>
  </si>
  <si>
    <t>TP: modelo dice 'sí' y la realidad es 'sí'. TN: dice 'no' y es 'no'. FP: dice 'sí' pero es 'no'. FN: dice 'no' pero es 'sí'. Base de precisión, sensibilidad y F1.</t>
  </si>
  <si>
    <t>2.6.c</t>
  </si>
  <si>
    <t>Exactitud (accuracy)</t>
  </si>
  <si>
    <t>Proporción de aciertos sobre el total de predicciones. Puede ser engañosa en datasets desbalanceados. Fórmula/Cómo: Exactitud = 100·(TP+TN)/(TP+TN+FP+FN) ; caso general: 100·(Σ P_i,i)/n</t>
  </si>
  <si>
    <t>2.6.d</t>
  </si>
  <si>
    <t>Precisión</t>
  </si>
  <si>
    <t>De todo lo que el modelo predijo como positivo, qué proporción acertó. Mide cuánto confiar cuando el modelo dice 'sí'. Fórmula/Cómo: Precisión = TP / (TP + FP)</t>
  </si>
  <si>
    <t>2.6.e</t>
  </si>
  <si>
    <t>Sensibilidad / Recall / Exhaustividad</t>
  </si>
  <si>
    <t>De todos los casos realmente positivos, qué proporción detectó el modelo. Mide si se está dejando escapar positivos reales (falsos negativos). Fórmula/Cómo: Sensibilidad = TP / (TP + FN)</t>
  </si>
  <si>
    <t>2.6.f</t>
  </si>
  <si>
    <t>F1-score</t>
  </si>
  <si>
    <t>Media armónica entre precisión y sensibilidad; resume ambas en un solo número cuando mejorar una empeora la otra. Fórmula/Cómo: F1 = 2·(Precisión·Sensibilidad)/(Precisión+Sensibilidad)</t>
  </si>
  <si>
    <t>2.6.g</t>
  </si>
  <si>
    <t>Datos no balanceados: por qué accuracy engaña</t>
  </si>
  <si>
    <t>En un dataset con ratio 9:1, un clasificador que siempre predice la clase mayoritaria obtiene más del 80% de exactitud sin haber aprendido nada; por eso se necesitan precisión/recall/F1.</t>
  </si>
  <si>
    <t>3</t>
  </si>
  <si>
    <t>EXTRACCIÓN DE CARACTERÍSTICAS (VARIABLES E IMÁGENES)</t>
  </si>
  <si>
    <t>Análisis descriptivo de variables cualitativas/cuantitativas y, sobre todo, procesamiento de imágenes: transformaciones de intensidad, espacios de color, transformaciones geométricas, segmentación y descriptores de forma y de textura (GLCM, SIFT, SURF, HOG, LBP). El manual PDF del curso NO cubre este tema: la teoría real vive solo en el PPTX del profesor.</t>
  </si>
  <si>
    <t>Empezar por variables cuantitativas y 'la imagen como dato' antes de los descriptores de forma y textura.</t>
  </si>
  <si>
    <t>resumen_tema3.txt + Tema 3 - Extracción de características.pptx</t>
  </si>
  <si>
    <t>3.1</t>
  </si>
  <si>
    <t>Conceptos básicos y variable estadística</t>
  </si>
  <si>
    <t>Base de toda estadística descriptiva: distinguir población (todo lo que se quiere estudiar) de muestra (subconjunto representativo) y entender que una variable es el valor que toma cada instancia para una característica concreta.</t>
  </si>
  <si>
    <t>Practicar identificando población/muestra/variable en ejemplos propios antes de pasar a variables cualitativas y cuantitativas.</t>
  </si>
  <si>
    <t>Tema 3 - Extracción de características.pptx (diap. 3-6)</t>
  </si>
  <si>
    <t>3.1.a</t>
  </si>
  <si>
    <t>Población</t>
  </si>
  <si>
    <t>Conjunto de ítems (instancias, sujetos, filas) que se desea estudiar o analizar. Ej: todos los lotes de un producto fabricado en masa.</t>
  </si>
  <si>
    <t>pptx diap. 3</t>
  </si>
  <si>
    <t>3.1.b</t>
  </si>
  <si>
    <t>Muestra y muestreo representativo</t>
  </si>
  <si>
    <t>Subconjunto de la población. Debe ser representativa (mediante muestreo aleatorio) para poder generalizar conclusiones a toda la población; un muestreo mal balanceado (ej. por edad o sexo) produce conclusiones erróneas.</t>
  </si>
  <si>
    <t>pptx diap. 3-4</t>
  </si>
  <si>
    <t>3.1.c</t>
  </si>
  <si>
    <t>Inferencia estadística</t>
  </si>
  <si>
    <t>Proceso de razonamiento que permite obtener conclusiones sobre la población (con un margen de error conocido) a partir del análisis de la muestra.</t>
  </si>
  <si>
    <t>3.1.d</t>
  </si>
  <si>
    <t>Variable estadística</t>
  </si>
  <si>
    <t>Cualidad de los individuos de una población; es el valor que toma una instancia para una característica (columna/atributo) determinada, y puede variar entre ítems o en el tiempo.</t>
  </si>
  <si>
    <t>pptx diap. 5</t>
  </si>
  <si>
    <t>3.2</t>
  </si>
  <si>
    <t>Análisis de variables cualitativas</t>
  </si>
  <si>
    <t>Tratamiento de variables categóricas (ej. nivel de estudios) mediante conteo de frecuencias por categoría y su representación gráfica, para resumir la muestra sin tener que recorrerla entera.</t>
  </si>
  <si>
    <t>Practicar construyendo una tabla de frecuencias y su gráfico de barras/sectores con una variable categórica propia.</t>
  </si>
  <si>
    <t>pptx diap. 7-8 + notebook var_cualitativas</t>
  </si>
  <si>
    <t>3.2.a</t>
  </si>
  <si>
    <t>Tablas de frecuencia</t>
  </si>
  <si>
    <t>Resumen del número de apariciones (frecuencia absoluta) de cada categoría en la muestra, para analizarla de forma organizada. Fórmula/Cómo: np.unique(datos, return_counts=True)</t>
  </si>
  <si>
    <t>pptx diap. 7 + notebook</t>
  </si>
  <si>
    <t>3.2.b</t>
  </si>
  <si>
    <t>Representación gráfica (barras y sectores)</t>
  </si>
  <si>
    <t>Visualización de las frecuencias por categoría: diagrama de barras (altura = frecuencia) o diagrama de sectores/pie (porcentaje del total). Fórmula/Cómo: plt.bar(categorias, frecuencia) / plt.pie(frecuencia, labels=categorias, autopct=...)</t>
  </si>
  <si>
    <t>notebook var_cualitativas</t>
  </si>
  <si>
    <t>3.3</t>
  </si>
  <si>
    <t>Análisis de variables cuantitativas</t>
  </si>
  <si>
    <t>Conjunto de medidas numéricas que describen una muestra de datos numéricos desde cuatro ángulos: dónde se centra, cómo se ordena, cuánto se dispersa y cómo se distribuye. Son símbolos parecidos que conviene separar uno a uno para no confundirlos.</t>
  </si>
  <si>
    <t>Calcular las 4 familias de medidas sobre un mismo vector de datos y comparar qué aporta cada una.</t>
  </si>
  <si>
    <t>pptx diap. 9-10 + notebook var_cuantitativas</t>
  </si>
  <si>
    <t>3.3.a</t>
  </si>
  <si>
    <t>Medidas de tendencia central: media, mediana, moda</t>
  </si>
  <si>
    <t>Tres formas distintas de resumir 'el centro' de los datos: media = promedio aritmético, mediana = valor central al ordenar, moda = valor más frecuente. Fórmula/Cómo: media = np.mean(X); mediana = np.median(X); moda = stats.mode(X)</t>
  </si>
  <si>
    <t>pptx diap. 9 + notebook</t>
  </si>
  <si>
    <t>3.3.b</t>
  </si>
  <si>
    <t>Medidas de posición: cuartiles, RIC y límites de outliers</t>
  </si>
  <si>
    <t>Los cuartiles dividen los datos ordenados en 4 partes; el rango intercuartílico (RIC=Q3-Q1) mide la dispersión del 50% central, y con la regla 1.5·RIC se marcan los límites fuera de los cuales un valor se considera outlier. Fórmula/Cómo: RIC = Q3 - Q1; lim_inf = Q1 - 1.5·RIC; lim_sup = Q3 + 1.5·RIC</t>
  </si>
  <si>
    <t>notebook var_cuantitativas</t>
  </si>
  <si>
    <t>3.3.c</t>
  </si>
  <si>
    <t>Medidas de dispersión: varianza y desviación típica</t>
  </si>
  <si>
    <t>Cuánto se alejan en promedio los datos de la media. La desviación típica es la raíz de la varianza y se expresa en las mismas unidades que el dato original. Fórmula/Cómo: desvest = np.std(X); varianza = desvest**2</t>
  </si>
  <si>
    <t>pptx diap. 10 + notebook</t>
  </si>
  <si>
    <t>3.3.d</t>
  </si>
  <si>
    <t>Medidas de distribución: asimetría y curtosis</t>
  </si>
  <si>
    <t>La asimetría (skewness) indica si la distribución se inclina más hacia un lado de la media; la curtosis indica qué tan puntiaguda o achatada es respecto a la normal (curtosis&gt;0 leptocúrtica, &lt;0 platicúrtica, =0 mesocúrtica). Fórmula/Cómo: asimetria = stats.skew(X); curtosis = stats.kurtosis(X, fisher=True)</t>
  </si>
  <si>
    <t>3.4</t>
  </si>
  <si>
    <t>Introducción a los datos 2D (la imagen como dato)</t>
  </si>
  <si>
    <t>Punto de partida de la parte bidimensional del tema: una imagen se modela como una función f(x,y) donde x e y son coordenadas espaciales y f es la intensidad (color/brillo) en ese punto — es decir, una matriz de números. Fórmula/Cómo: f(x,y) = intensidad en la posición (x,y)</t>
  </si>
  <si>
    <t>Cargar una imagen con OpenCV y verificar sus dimensiones (alto, ancho, canales) antes de aplicar cualquier transformación.</t>
  </si>
  <si>
    <t>pptx diap. 11 + notebook imagenes_transformaciones</t>
  </si>
  <si>
    <t>3.5</t>
  </si>
  <si>
    <t>Procesado de imagen: transformaciones de intensidad</t>
  </si>
  <si>
    <t>Operaciones que modifican el valor de intensidad de los píxeles (brillo, contraste, linealidad) sin cambiar su posición, usadas para realzar o normalizar visualmente una imagen antes de extraer características.</t>
  </si>
  <si>
    <t>Aplicar cambio de brillo y contraste sobre una imagen propia y comparar histogramas.</t>
  </si>
  <si>
    <t>pptx diap. 14-16 + notebook</t>
  </si>
  <si>
    <t>3.5.a</t>
  </si>
  <si>
    <t>Cambio de brillo</t>
  </si>
  <si>
    <t>Suma o resta una constante a todos los píxeles de la imagen. Debe hacerse con una función que evite el desbordamiento del tipo de dato (uint8), no con el operador + de Python. Fórmula/Cómo: cv2.add(img, 50) en vez de img + 50</t>
  </si>
  <si>
    <t>pptx diap. 14 + notebook</t>
  </si>
  <si>
    <t>3.5.b</t>
  </si>
  <si>
    <t>Cambio de contraste</t>
  </si>
  <si>
    <t>Escala la diferencia entre los píxeles y un punto de referencia para acentuar o suavizar las diferencias de intensidad, siguiendo la fórmula que usa el programa GIMP. Fórmula/Cómo: f=131·(contraste+127)/(127·(131-contraste)); alpha_c=f; gamma_c=127·(1-f); cv2.addWeighted(img, alpha_c, img, 0, gamma_c)</t>
  </si>
  <si>
    <t>pptx diap. 15 + notebook</t>
  </si>
  <si>
    <t>3.5.c</t>
  </si>
  <si>
    <t>Transformación lineal a tramos, negativo y ecualización del histograma</t>
  </si>
  <si>
    <t>Familia de transformaciones adicionales de intensidad mencionadas en el temario (invertir la imagen, redistribuir el histograma de intensidades para mejorar el contraste global). Sin explicación en prosa ni código en las fuentes disponibles; solo aparecen listadas como títulos en el PPTX.</t>
  </si>
  <si>
    <t>pptx diap. 16 (solo mencionado)</t>
  </si>
  <si>
    <t>3.6</t>
  </si>
  <si>
    <t>Procesado de imagen: espacios de color y transformaciones geométricas</t>
  </si>
  <si>
    <t>Dos familias de operaciones: reinterpretar la imagen en otro sistema de representación del color (RGB, CMYK, HSV, Lab, YCrCb), y mover/deformar la imagen en el plano (traslación, recorte, rotación, perspectiva, volteo) sin tocar sus valores de intensidad.</t>
  </si>
  <si>
    <t>Convertir una misma imagen a los distintos espacios de color y aplicar cada transformación geométrica para ver el efecto.</t>
  </si>
  <si>
    <t>pptx diap. 17-23 + notebook</t>
  </si>
  <si>
    <t>3.6.a</t>
  </si>
  <si>
    <t>Conversión de espacio de color (RGB↔CMYK, gris, HSV, Lab, YCrCb)</t>
  </si>
  <si>
    <t>RGB↔CMYK convierte entre el modelo aditivo (pantallas) y el sustractivo (impresión); K se calcula del canal máximo y C/M/Y de los complementarios. Los demás espacios reorganizan la información de color para tareas distintas: gris (solo intensidad), HSV (matiz/saturación/valor), Lab (luminosidad + color), YCrCb (luma + crominancia). Fórmula/Cómo: K = 1 - max(R,G,B); C=(1-R-K)/(1-K); M=(1-G-K)/(1-K); Y=(1-B-K)/(1-K)</t>
  </si>
  <si>
    <t>pptx diap. 17-18 + notebook</t>
  </si>
  <si>
    <t>3.6.b</t>
  </si>
  <si>
    <t>Traslación, rotación y perspectiva</t>
  </si>
  <si>
    <t>Transformaciones geométricas que mueven los píxeles de sitio aplicando una matriz de transformación afín (traslación/rotación) o de 4 puntos (perspectiva), reescribiendo la imagen en un nuevo sistema de coordenadas. Fórmula/Cómo: cv2.warpAffine(img, M, tamaño) con M de traslación o cv2.getRotationMatrix2D; cv2.warpPerspective con cv2.getPerspectiveTransform</t>
  </si>
  <si>
    <t>pptx diap. 19,21-22 + notebook</t>
  </si>
  <si>
    <t>3.6.c</t>
  </si>
  <si>
    <t>Cropping (recorte / ROI)</t>
  </si>
  <si>
    <t>Selección y extracción de una zona concreta de la imagen (región de interés, ROI) para centrar el análisis solo en esa parte y evitar que el resto introduzca ruido. Fórmula/Cómo: img[y1:y2, x1:x2]</t>
  </si>
  <si>
    <t>pptx diap. 20 + notebook</t>
  </si>
  <si>
    <t>3.6.d</t>
  </si>
  <si>
    <t>Flipping (volteo)</t>
  </si>
  <si>
    <t>Voltea la imagen horizontal, vertical o ambas a la vez; útil para estandarizar la orientación cuando las imágenes de una base de datos se adquirieron de forma distinta. Fórmula/Cómo: cv2.flip(img, código)</t>
  </si>
  <si>
    <t>pptx diap. 23 + notebook</t>
  </si>
  <si>
    <t>3.7</t>
  </si>
  <si>
    <t>Segmentación de imágenes</t>
  </si>
  <si>
    <t>Partición de la imagen en regiones (objetos) etiquetando cada píxel, para simplificar su representación y delimitar la zona de interés antes de calcular descriptores de forma. Es un paso previo obligatorio para los descriptores geométricos.</t>
  </si>
  <si>
    <t>Segmentar una imagen propia por thresholding/Otsu y verificar la máscara binaria resultante.</t>
  </si>
  <si>
    <t>pptx diap. 24-33 + notebook Image_segmentation</t>
  </si>
  <si>
    <t>3.7.a</t>
  </si>
  <si>
    <t>Segmentación semántica vs. de instancia</t>
  </si>
  <si>
    <t>La semántica asigna una etiqueta de objeto a cada píxel sin distinguir individuos (ej. 'personas' vs fondo); la de instancia además distingue cada objeto individual dentro de esa misma clase (ej. cada persona por separado).</t>
  </si>
  <si>
    <t>pptx diap. 24</t>
  </si>
  <si>
    <t>3.7.b</t>
  </si>
  <si>
    <t>Thresholding (umbralización) y método de Otsu</t>
  </si>
  <si>
    <t>La umbralización binariza la imagen marcando como objeto los píxeles por encima de un umbral t. Otsu calcula ese umbral automáticamente (sin fijarlo a mano) maximizando la varianza entre las dos clases resultantes. Fórmula/Cómo: cv2.threshold(gray, t, 255, cv2.THRESH_BINARY) / cv2.threshold(gray, 0, 1, cv2.THRESH_OTSU)</t>
  </si>
  <si>
    <t>pptx diap. 28-29 + notebook</t>
  </si>
  <si>
    <t>3.7.c</t>
  </si>
  <si>
    <t>Detección de bordes (Canny) y relleno de huecos</t>
  </si>
  <si>
    <t>Un borde es un píxel donde hay un cambio brusco de intensidad. Canny los detecta usando dos umbrales (recomendado que el menor sea 1/3 del mayor), tras lo cual se puede rellenar el interior de los contornos cerrados detectados. Fórmula/Cómo: cv2.Canny(img_suavizada, minVal, maxVal) con minVal≈maxVal/3; scipy binary_fill_holes</t>
  </si>
  <si>
    <t>pptx diap. 31-32 + notebook</t>
  </si>
  <si>
    <t>3.7.d</t>
  </si>
  <si>
    <t>Otras técnicas: crecimiento de regiones, clustering, watershed, espacio de color</t>
  </si>
  <si>
    <t>Crecimiento de regiones (region growing) propaga una etiqueta desde un píxel semilla a sus vecinos similares (ej. flood fill). El temario menciona además clustering, watershed y autoencoders (redes convolucionales) como otras familias de técnicas de segmentación, sin desarrollo detallado en las fuentes disponibles. Fórmula/Cómo: cv2.floodFill(mask, ref, semilla, valor)</t>
  </si>
  <si>
    <t>pptx diap. 27,33 + notebook</t>
  </si>
  <si>
    <t>3.8</t>
  </si>
  <si>
    <t>Descriptores de forma (descriptores geométricos)</t>
  </si>
  <si>
    <t>Conjunto de medidas numéricas que describen la forma estructural de un objeto ya segmentado (binario) y su contorno, usadas para identificar objetos y reconocer patrones. Requieren segmentación previa (3.7).</t>
  </si>
  <si>
    <t>Calcular la tabla completa de descriptores con regionprops sobre varios objetos segmentados y comparar sus valores entre formas distintas (círculo, cuadrado, triángulo).</t>
  </si>
  <si>
    <t>pptx diap. 34-35 + notebook Descriptores_forma</t>
  </si>
  <si>
    <t>3.8.a</t>
  </si>
  <si>
    <t>Área, bounding box y convex hull</t>
  </si>
  <si>
    <t>Área = número de píxeles de la región de interés. Bounding box = rectángulo más pequeño que la contiene. Convex hull = polígono convexo más pequeño que la contiene (su 'envoltura' sin concavidades). Fórmula/Cómo: regionprops(objeto): prop.area, prop.bbox, prop.convex_area (vía convex_hull_image)</t>
  </si>
  <si>
    <t>pptx diap. 34 + notebook</t>
  </si>
  <si>
    <t>3.8.b</t>
  </si>
  <si>
    <t>Excentricidad, diámetro equivalente, extensión, ejes y orientación</t>
  </si>
  <si>
    <t>Excentricidad: 0=círculo, 1=segmento de línea (de la elipse equivalente). Diámetro equivalente: diámetro del círculo con la misma área. Extensión: proporción de píxeles del objeto respecto a su bounding box. Ejes mayor/menor y orientación describen la elipse equivalente al objeto. Fórmula/Cómo: prop.eccentricity, prop.equivalent_diameter, prop.extent, prop.major_axis_length, prop.minor_axis_length, prop.orientation</t>
  </si>
  <si>
    <t>pptx diap. 34-35</t>
  </si>
  <si>
    <t>3.8.c</t>
  </si>
  <si>
    <t>Perímetro, solidez, compacidad y diámetro de Feret</t>
  </si>
  <si>
    <t>Perímetro: píxeles del contorno. Solidez: área/convex_area (1 en polígonos regulares). Compacidad: mide la circularidad (área entre perímetro al cuadrado). Diámetro de Feret (según PPTX): cociente entre área y bounding box. Fórmula/Cómo: compactness = 4·π·area / perimetro²; rectangularity = area / bbox_area</t>
  </si>
  <si>
    <t>pptx diap. 35 + notebook</t>
  </si>
  <si>
    <t>3.9</t>
  </si>
  <si>
    <t>Descriptores de textura</t>
  </si>
  <si>
    <t>Familia de técnicas que caracterizan el patrón/textura de una región (no su forma) analizando cómo varía la intensidad localmente: relaciones entre píxeles vecinos (GLCM, LBP) o puntos de interés robustos a cambios de escala/rotación (SIFT, SURF, HOG).</t>
  </si>
  <si>
    <t>Aplicar GLCM sobre dos parches de textura distinta (ej. cielo vs. hierba) y comparar sus propiedades antes de abordar SIFT/SURF/HOG/LBP.</t>
  </si>
  <si>
    <t>pptx diap. 36-55 + notebook Descriptores_textura</t>
  </si>
  <si>
    <t>3.9.a</t>
  </si>
  <si>
    <t>Matriz de coocurrencia (GLCM) y sus propiedades</t>
  </si>
  <si>
    <t>Matriz que cuenta cuántas veces aparece cada par de niveles de gris a una distancia y ángulo dados; de ella se extraen propiedades estadísticas de textura: contraste, disimilitud, homogeneidad, ASM, energía y correlación. Fórmula/Cómo: greycomatrix(img, distances=[d], angles=[a]); greycoprops(GLCM, 'contrast'/'homogeneity'/...)</t>
  </si>
  <si>
    <t>pptx diap. 36-37 + notebook</t>
  </si>
  <si>
    <t>3.9.b</t>
  </si>
  <si>
    <t>SIFT (Scale-Invariant Feature Transform)</t>
  </si>
  <si>
    <t>Detecta puntos clave (keypoints) estables frente a escala, rotación, iluminación y contraste, y genera para cada uno un descriptor de 128 valores ('fingerprint') a partir de un histograma de orientaciones en una ventana 16x16, permitiendo emparejar el mismo punto entre dos versiones de la imagen (ej. rotada). Fórmula/Cómo: sift.detect(img) → keypoints; sift.compute(img, kp) → descriptor de 128 características por punto</t>
  </si>
  <si>
    <t>pptx diap. 38-42 + notebook</t>
  </si>
  <si>
    <t>3.9.c</t>
  </si>
  <si>
    <t>SURF (Speeded-Up Robust Features)</t>
  </si>
  <si>
    <t>Versión acelerada (hasta 3 veces más rápida) de SIFT: en vez de diferencia de gaussianas usa la matriz Hessiana y una imagen integral para calcular puntos de interés y su orientación de forma más eficiente, útil para aplicaciones en tiempo real. Fórmula/Cómo: Determinante de la matriz Hessiana H sobre imagen integral</t>
  </si>
  <si>
    <t>pptx diap. 43-47</t>
  </si>
  <si>
    <t>3.9.d</t>
  </si>
  <si>
    <t>HOG (Histogram of Oriented Gradients)</t>
  </si>
  <si>
    <t>Describe la forma de un objeto mediante la distribución de direcciones del gradiente de intensidad: calcula magnitud/ángulo por celda de 8x8 píxeles, construye un histograma de 9 bins por celda, normaliza en ventanas de 16x16 (4 celdas) y concatena todo en un vector final (ej. 7×15×36=3780 características). Fórmula/Cómo: gx,gy = Sobel(img); mag,angle = cartToPolar(gx,gy); hog(...) → vector de características</t>
  </si>
  <si>
    <t>pptx diap. 48-51 + notebook</t>
  </si>
  <si>
    <t>3.9.e</t>
  </si>
  <si>
    <t>Local Binary Patterns (LBP)</t>
  </si>
  <si>
    <t>Describe la textura local comparando cada píxel con sus vecinos: si el vecino es mayor o igual se marca 1, si es menor 0; esa cadena binaria se convierte en un número que reemplaza al píxel central, y el histograma de esos valores (P+2 bins con el método 'uniform') es el vector de características final de la imagen. Fórmula/Cómo: local_binary_pattern(img_gris, P=8·R, R, method='uniform'); histograma normalizado de P+2 bins</t>
  </si>
  <si>
    <t>pptx diap. 52-55 + notebook</t>
  </si>
  <si>
    <t>4</t>
  </si>
  <si>
    <t>MODELOS DE REGRESIÓN</t>
  </si>
  <si>
    <t>Tres formas de predecir una variable numérica: regresión lineal múltiple (OLS), regresión polinómica (mismo truco pero con potencias de x) y KNN para regresión (promedio de los k vecinos más cercanos).</t>
  </si>
  <si>
    <t>Empezar por la ecuación y la interpretación de los coeficientes de la regresión lineal antes de ver polinómica y KNN.</t>
  </si>
  <si>
    <t>resumen_cap3_tema4.txt</t>
  </si>
  <si>
    <t>4.1</t>
  </si>
  <si>
    <t>Regresión lineal múltiple (OLS)</t>
  </si>
  <si>
    <t>Busca una relación lineal entre los atributos y la clase, ajustando una combinación lineal de los atributos mediante el algoritmo OLS (ordinary least squares), válido para regresión simple (1 atributo) o múltiple (varios).</t>
  </si>
  <si>
    <t>Practicar con ejemplos reales interpretando los coeficientes w y verificando los supuestos del modelo.</t>
  </si>
  <si>
    <t>4.1.a</t>
  </si>
  <si>
    <t>Ecuación del modelo lineal (hiperplano)</t>
  </si>
  <si>
    <t>El modelo predice y_hat como una combinación lineal de los atributos x1..xp, con un término independiente w0 (intercept) y un coeficiente wi por atributo. Fórmula/Cómo: y_hat = w0 + w1·x1 + w2·x2 + ... + wp·xp</t>
  </si>
  <si>
    <t>4.1.b</t>
  </si>
  <si>
    <t>Función objetivo (coste) minimizada por OLS</t>
  </si>
  <si>
    <t>OLS busca los coeficientes w que minimizan el error cuadrático medio entre las predicciones y los valores reales del conjunto de entrenamiento; cuanto menor es f, mejor el ajuste. Fórmula/Cómo: f(w0..wp) = (1/n)·Σ(y_i − (w0+Σ wj·x_ij))^2</t>
  </si>
  <si>
    <t>4.1.c</t>
  </si>
  <si>
    <t>Descenso de gradiente</t>
  </si>
  <si>
    <t>Algoritmo iterativo que busca los coeficientes óptimos moviéndose, en cada paso, en la dirección que más reduce la función objetivo, regulado por la tasa de aprendizaje (learning rate).</t>
  </si>
  <si>
    <t>4.1.d</t>
  </si>
  <si>
    <t>Interpretación geométrica de los coeficientes (caso simple)</t>
  </si>
  <si>
    <t>Con un único atributo, w1 es la pendiente de la recta de regresión y w0 es la ordenada en el origen (valor de y cuando x=0). Fórmula/Cómo: w1 = Δy/Δx</t>
  </si>
  <si>
    <t>4.1.e</t>
  </si>
  <si>
    <t>Predicción con el modelo ya entrenado</t>
  </si>
  <si>
    <t>Con los coeficientes fijos tras el entrenamiento, predecir es solo sustituir los valores de los atributos de una instancia nueva en la ecuación del modelo; es casi instantáneo.</t>
  </si>
  <si>
    <t>4.1.f</t>
  </si>
  <si>
    <t>R² (coeficiente de determinación)</t>
  </si>
  <si>
    <t>Mide qué proporción de la variabilidad de la clase explica el modelo frente a la variabilidad total. R2=1 es predicción perfecta, R2=0 es igual de bueno que predecir siempre la media, R2&lt;0 es peor que eso. Fórmula/Cómo: R2 = 1 − Σ(y_i−y_hat_i)^2 / Σ(y_i−ȳ)^2</t>
  </si>
  <si>
    <t>4.1.g</t>
  </si>
  <si>
    <t>Interpretación de coeficientes en regresión múltiple</t>
  </si>
  <si>
    <t>El signo de cada coeficiente indica relación directa (+) o inversa (−) con la clase, y su magnitud (en valor absoluto) indica la importancia del atributo, siempre que los datos estén estandarizados para que las escalas sean comparables. Fórmula/Cómo: coef_ (w1..wp) e intercept_ (w0) en sklearn</t>
  </si>
  <si>
    <t>4.1.h</t>
  </si>
  <si>
    <t>Ventajas de la regresión lineal</t>
  </si>
  <si>
    <t>Modelo simple y fácil de interpretar, eficaz cuando la relación es realmente lineal, entrenamiento razonable y predicción casi instantánea.</t>
  </si>
  <si>
    <t>4.1.i</t>
  </si>
  <si>
    <t>Supuestos de la regresión lineal</t>
  </si>
  <si>
    <t>Para que el modelo funcione bien se asume independencia entre atributos, distribución normal de los atributos (sensible a outliers), relación lineal atributos-clase y homocedasticidad (varianza constante de los errores).</t>
  </si>
  <si>
    <t>4.1.j</t>
  </si>
  <si>
    <t>Variantes con regularización (Ridge, Lasso)</t>
  </si>
  <si>
    <t>Variantes de la regresión lineal que añaden un término de penalización a la función objetivo para evitar el sobreajuste, especialmente útil con outliers; mencionadas pero no desarrolladas en el manual.</t>
  </si>
  <si>
    <t>4.2</t>
  </si>
  <si>
    <t>Regresión polinómica</t>
  </si>
  <si>
    <t>Se usa cuando la relación entre atributo y clase no es una línea recta sino una curva; el grado del polinomio (cuadrática, cúbica, etc.) define la forma de la curva ajustada.</t>
  </si>
  <si>
    <t>Practicar el 'truco' de expandir x en potencias y ajustarlo como regresión lineal múltiple.</t>
  </si>
  <si>
    <t>4.2.a</t>
  </si>
  <si>
    <t>Ecuación polinómica de grado n</t>
  </si>
  <si>
    <t>El modelo predice y_hat como una suma ponderada de las potencias de x, desde x^0 hasta x^n. Fórmula/Cómo: y_hat = w0·x^0 + w1·x^1 + ... + wn·x^n</t>
  </si>
  <si>
    <t>4.2.b</t>
  </si>
  <si>
    <t>Truco: regresión polinómica como regresión lineal múltiple</t>
  </si>
  <si>
    <t>Definiendo x1=x, x2=x^2, ..., xn=x^n, el problema polinómico se convierte en una regresión lineal múltiple normal y se resuelve con los mismos mecanismos (PolynomialFeatures + LinearRegression en sklearn). Fórmula/Cómo: x1=x, x2=x^2,... → y_hat=Σ wi·xi</t>
  </si>
  <si>
    <t>4.2.c</t>
  </si>
  <si>
    <t>Grado del polinomio como hiperparámetro</t>
  </si>
  <si>
    <t>El grado (degree) no se calcula, se fija a mano y se valida comparando las métricas (MAE/MSE/RMSE/R2) del modelo de ese grado contra el modelo lineal simple (grado 1).</t>
  </si>
  <si>
    <t>4.3</t>
  </si>
  <si>
    <t>Vecinos más cercanos (KNN) para regresión</t>
  </si>
  <si>
    <t>Se basa en que ejemplos parecidos en sus atributos tienen clases parecidas: predice el valor de un ejemplo nuevo como el promedio de las clases de sus k vecinos más cercanos, sin construir ningún modelo explícito.</t>
  </si>
  <si>
    <t>Practicar el efecto de estandarizar los datos y de elegir k y la distancia con GridSearchCV.</t>
  </si>
  <si>
    <t>4.3.a</t>
  </si>
  <si>
    <t>Idea fundamental de KNN</t>
  </si>
  <si>
    <t>Ejemplos similares en sus atributos presentan también valores de clase similares; la predicción se basa en buscar esos vecinos parecidos.</t>
  </si>
  <si>
    <t>4.3.b</t>
  </si>
  <si>
    <t>Entrenamiento trivial de KNN</t>
  </si>
  <si>
    <t>KNN no elabora ningún modelo a partir de los datos: entrenar consiste solo en almacenar el conjunto de entrenamiento para consultarlo al predecir.</t>
  </si>
  <si>
    <t>4.3.c</t>
  </si>
  <si>
    <t>Distancia de Minkowski y caso euclídeo</t>
  </si>
  <si>
    <t>Mide la similitud entre dos ejemplos según sus atributos; cuando el exponente q=2 se llama distancia euclídea, la más usada en la práctica. Fórmula/Cómo: d(e_i,e_j) = (Σ|x_id−x_jd|^q)^(1/q); euclídea con q=2</t>
  </si>
  <si>
    <t>4.3.d</t>
  </si>
  <si>
    <t>Propiedades de una función de distancia</t>
  </si>
  <si>
    <t>Toda función de distancia válida debe cumplir no negatividad, identidad (distancia 0 solo entre el mismo ejemplo), simetría y desigualdad triangular; Minkowski las cumple todas solo si q≥1.</t>
  </si>
  <si>
    <t>4.3.e</t>
  </si>
  <si>
    <t>Selección de los k vecinos más cercanos</t>
  </si>
  <si>
    <t>Los k vecinos son los ejemplos de entrenamiento con menor distancia al ejemplo consultado; como alternativa a un k fijo, puede usarse un radio r y tomar todos los ejemplos dentro de esa distancia.</t>
  </si>
  <si>
    <t>4.3.f</t>
  </si>
  <si>
    <t>Predicción de KNN (promedio simple y ponderado)</t>
  </si>
  <si>
    <t>La predicción es el promedio de las clases de los k vecinos; en la versión ponderada, los vecinos más cercanos pesan más que los lejanos en ese promedio. Fórmula/Cómo: y_hat=(1/k)·Σy_vj; ponderada: y_hat=Σ(n_j·y_vj)/Σn_j</t>
  </si>
  <si>
    <t>4.3.g</t>
  </si>
  <si>
    <t>Factores que afectan la eficacia de KNN</t>
  </si>
  <si>
    <t>La escala de los atributos, la función de distancia usada, la estrategia de selección de vecinos (k vs radio) y la forma de calcular la predicción (media simple o ponderada) determinan qué tan bien funciona KNN.</t>
  </si>
  <si>
    <t>4.3.h</t>
  </si>
  <si>
    <t>Necesidad de estandarizar antes de usar KNN</t>
  </si>
  <si>
    <t>Como KNN se basa en distancias, un atributo con valores más grandes domina el cálculo si no se igualan las escalas; en el ejemplo del manual, estandarizar hizo subir el R2 de −0,075 a 0,64.</t>
  </si>
  <si>
    <t>4.3.i</t>
  </si>
  <si>
    <t>Hiperparámetros de KNN y su ajuste con GridSearchCV</t>
  </si>
  <si>
    <t>Los hiperparámetros de KNN son n_neighbors (k), weights (uniform/distance) y p/metric (la función de distancia); se pueden ajustar a mano o buscar automáticamente probando combinaciones con GridSearchCV.</t>
  </si>
  <si>
    <t>4.3.j</t>
  </si>
  <si>
    <t>Ventajas e inconvenientes de KNN</t>
  </si>
  <si>
    <t>Ventajas: modelo simple, predicciones fáciles de explicar (se ven los vecinos usados), entrenamiento instantáneo. Inconvenientes: predicción lenta con muchos datos, poca generalización ante anomalías, necesita atributos relevantes y en la misma escala.</t>
  </si>
  <si>
    <t>5</t>
  </si>
  <si>
    <t>MODELOS DE CLASIFICACIÓN</t>
  </si>
  <si>
    <t>Tres algoritmos para predecir una clase categórica: regresión logística (frontera lineal vía función sigmoide), árboles de decisión (particiones jerárquicas con Gini/entropía) y SVM (solo cubierto a nivel de código; sin teoría de fuente sobre hiperplano/margen/kernels).</t>
  </si>
  <si>
    <t>Empezar por la sigmoide de LOGR y el criterio Gini de los árboles antes de SVM (tema con vacío teórico declarado).</t>
  </si>
  <si>
    <t>resumen_cap4_tema5.txt</t>
  </si>
  <si>
    <t>5.1</t>
  </si>
  <si>
    <t>Regresión logística (LOGR)</t>
  </si>
  <si>
    <t>Pese al nombre, LOGR es un algoritmo de clasificación, no de regresión: transforma una combinación lineal de atributos con la función logística para obtener la probabilidad de que un ejemplo sea de la clase 1, y decide la clase aplicando un umbral (0,5 por defecto).</t>
  </si>
  <si>
    <t>Resolver a mano un caso con 2-3 atributos: calcular la combinación lineal, pasarla por la sigmoide y aplicar el umbral de decisión.</t>
  </si>
  <si>
    <t>5.1.a</t>
  </si>
  <si>
    <t>Qué es y para qué sirve LOGR</t>
  </si>
  <si>
    <t>LOGR no predice directamente la clase (0 o 1), sino la probabilidad P_i de que la clase sea 1; luego aplica una regla de decisión: si P_i &gt; 0,5 predice 1, si no predice 0. El umbral 0,5 puede cambiarse. Fórmula/Cómo: Si P_i &gt; 0,5 → clase 1; si P_i ≤ 0,5 → clase 0</t>
  </si>
  <si>
    <t>5.1.b</t>
  </si>
  <si>
    <t>Función sigmoide / logística — fórmula</t>
  </si>
  <si>
    <t>Es la función en forma de 'S' que convierte cualquier número real (la combinación lineal de atributos) en un valor continuo entre 0 y 1, interpretable como probabilidad. Fórmula/Cómo: ŷ = 1 / (1 + e^-(w0+w1·x1+...+wp·xp)) — equivalente a σ(t) = e^t / (1+e^-t)</t>
  </si>
  <si>
    <t>5.1.c</t>
  </si>
  <si>
    <t>Comportamiento de la sigmoide y regla de signo</t>
  </si>
  <si>
    <t>La sigmoide tiende rápido a 0 para valores negativos grandes y a 1 para valores positivos grandes; σ(t)&lt;0,5 si t&lt;0 y σ(t)≥0,5 si t≥0. Por eso el modelo predice clase 1 si x^T·w es positivo y clase 0 si es negativo. Fórmula/Cómo: σ(t)&lt;0.5 ⟺ t&lt;0 ; σ(t)≥0.5 ⟺ t≥0</t>
  </si>
  <si>
    <t>5.1.d</t>
  </si>
  <si>
    <t>Comparación con regresión lineal</t>
  </si>
  <si>
    <t>La regresión lineal calcula directamente y = w0+w1·x1+...; LOGR calcula ese mismo resultado lineal (x^T·w) pero lo pasa por la sigmoide para convertirlo en una probabilidad entre 0 y 1.</t>
  </si>
  <si>
    <t>5.1.e</t>
  </si>
  <si>
    <t>Frontera de decisión, log-odds y umbral</t>
  </si>
  <si>
    <t>La frontera de decisión es el conjunto de puntos donde la combinación lineal vale 0 (ahí ŷ=0,5, el umbral). Con 1 atributo la frontera es un punto, con 2 es una recta, etc. Fórmula/Cómo: Frontera: w0+w1·x1+...+wp·xp = 0</t>
  </si>
  <si>
    <t>5.1.f</t>
  </si>
  <si>
    <t>Tabla de valores extremos del modelo LOGR</t>
  </si>
  <si>
    <t>Cuando la combinación lineal tiende a -∞, ŷ tiende a 0; en 0, ŷ=0,5; en +∞, ŷ tiende a 1. Los valores exactos 0 y 1 nunca se alcanzan porque w y x son finitos. Fórmula/Cómo: -∞→0 ; 0→0,5 ; +∞→1</t>
  </si>
  <si>
    <t>5.1.g</t>
  </si>
  <si>
    <t>Entrenamiento: función objetivo (verosimilitud)</t>
  </si>
  <si>
    <t>Entrenar LOGR es encontrar los coeficientes w que maximizan la función de verosimilitud: premia cuando la probabilidad predicha se acerca a la clase real (cerca de 1 si y=1, cerca de 0 si y=0). Fórmula/Cómo: f(w) = Σ_i [y_i·ln(ŷ_i) + (1-y_i)·ln(1-ŷ_i)]</t>
  </si>
  <si>
    <t>5.1.h</t>
  </si>
  <si>
    <t>Regularización L1/L2 en LOGR</t>
  </si>
  <si>
    <t>Igual que en regresión lineal, se puede regularizar (L1/Lasso, L2/Ridge) añadiendo un término a la función objetivo que empuja los coeficientes hacia 0, para evitar sobreajuste.</t>
  </si>
  <si>
    <t>5.1.i</t>
  </si>
  <si>
    <t>Clasificación multiclase con LOGR (One-vs-Rest)</t>
  </si>
  <si>
    <t>LOGR es binario por diseño; para más de 2 clases se descompone en m clasificadores binarios 'uno contra el resto' (OvR), y las regiones multiclase se construyen con las bisectrices entre esas fronteras.</t>
  </si>
  <si>
    <t>5.1.j</t>
  </si>
  <si>
    <t>Código de ejemplo — Programa 15 (LOGR sobre iris)</t>
  </si>
  <si>
    <t>Ejemplo real: LogisticRegression con solver 'sag', multi_class='ovr', validado con KFold(10) sobre iris (2 atributos), evaluado con ACC/PREC/RECALL/F1. Resultado real: F1≈0,906-0,907, 14 errores.</t>
  </si>
  <si>
    <t>5.1.k</t>
  </si>
  <si>
    <t>Resultados empíricos: LOGR ante fronteras lineales vs no lineales</t>
  </si>
  <si>
    <t>Con datos de frontera lineal (make_blobs) LOGR acierta ~95%; con 'medias lunas' (no lineal) baja a ~86%; con anillos concéntricos (no separables linealmente) cae a ~49% (casi aleatorio). Confirma que LOGR solo traza fronteras lineales.</t>
  </si>
  <si>
    <t>5.1.l</t>
  </si>
  <si>
    <t>AUC / curva ROC</t>
  </si>
  <si>
    <t>Métrica para medir la bondad de clasificadores que estiman probabilidades: AUC es el área bajo la curva ROC (relación entre tasa de aciertos y falsos positivos según el umbral). AUC=1 es un clasificador perfecto.</t>
  </si>
  <si>
    <t>5.1.m</t>
  </si>
  <si>
    <t>Ventajas e inconvenientes de LOGR</t>
  </si>
  <si>
    <t>Ventajas: modelo simple, fácil de interpretar (signo y magnitud del coeficiente), rápido de entrenar y predecir. Inconvenientes: asume independencia entre atributos y solo genera una frontera lineal, insuficiente para regiones complejas.</t>
  </si>
  <si>
    <t>5.2</t>
  </si>
  <si>
    <t>Árboles de decisión</t>
  </si>
  <si>
    <t>Modelo que divide los datos de forma jerárquica (un atributo a la vez, de forma recursiva) hasta llegar a grupos donde los ejemplos son mayoritariamente de una misma clase. Estructura de nodos (atributo a evaluar), aristas (valor del atributo) y hojas (predicción final).</t>
  </si>
  <si>
    <t>Practicar la lectura de un árbol entrenado y calcular a mano Gini/entropía de un nodo simple.</t>
  </si>
  <si>
    <t>5.2.a</t>
  </si>
  <si>
    <t>Qué son y cómo funcionan conceptualmente</t>
  </si>
  <si>
    <t>Un árbol es una estructura sin ciclos con nodo raíz; cada nodo interno evalúa un atributo, cada arista representa un valor/rango, y las hojas dan la predicción final. Sirve para clasificación y regresión (árbol de regresión).</t>
  </si>
  <si>
    <t>5.2.b</t>
  </si>
  <si>
    <t>Ejemplo guía: dataset 'jugar-tenis'</t>
  </si>
  <si>
    <t>14 instancias, 5 atributos (Day, Outlook, Temp, Humidity, Wind), clase Play (Yes/No). Recorrer el árbol nodo a nodo según los valores del ejemplo lleva a una hoja; algunos atributos pueden resultar irrelevantes si ya se llegó a una hoja pura antes. Fórmula/Cómo: Regla ejemplo: si Outlook=Sunny y Humidity=Normal, entonces Play=Yes</t>
  </si>
  <si>
    <t>5.2.c</t>
  </si>
  <si>
    <t>Algoritmo ID3</t>
  </si>
  <si>
    <t>Genera árboles n-arios, elige el mejor atributo en cada nodo con ganancia de información, incluye poda posterior. Limitación: solo admite atributos categóricos.</t>
  </si>
  <si>
    <t>5.2.d</t>
  </si>
  <si>
    <t>Algoritmo C4.5</t>
  </si>
  <si>
    <t>Sucesor de ID3: admite atributos numéricos (crea puntos de corte automáticos), extrae reglas 'si...entonces...' de cada camino raíz→hoja, las ordena por eficacia y poda las peores.</t>
  </si>
  <si>
    <t>5.2.e</t>
  </si>
  <si>
    <t>Algoritmo CART</t>
  </si>
  <si>
    <t>Permite clasificación y regresión; a diferencia de ID3/C4.5, produce solo árboles binarios (máx. 2 aristas por nodo). scikit-learn (DecisionTreeClassifier) implementa una versión de CART que solo admite atributos numéricos.</t>
  </si>
  <si>
    <t>5.2.f</t>
  </si>
  <si>
    <t>Criterio de partición: índice de Gini</t>
  </si>
  <si>
    <t>Mide la impureza de un nodo: vale 0 si el nodo es puro (una sola clase) y sube cuanto más mezcladas están las clases. sklearn lo usa (criterion='gini') para elegir en cada nodo el atributo/corte que más reduce la impureza. Fórmula/Cómo: Gini = 1 − Σ_k (p_k)² · Ejemplo real (iris): nodo raíz gini=0,667 (3 clases mezcladas) → nodo hoja gini=0,0 (puro, 50 setosa)</t>
  </si>
  <si>
    <t>5.2.g</t>
  </si>
  <si>
    <t>Criterio de partición: entropía / ganancia de información</t>
  </si>
  <si>
    <t>Alternativa al Gini (criterion='entropy'): también mide impureza, vale 0 en nodo puro y aumenta con la mezcla de clases. La 'ganancia de información' es la métrica que usa ID3 para elegir el atributo. Fórmula/Cómo: Entropía = − Σ_k p_k·log2(p_k)</t>
  </si>
  <si>
    <t>5.2.h</t>
  </si>
  <si>
    <t>Poda y control de sobreajuste</t>
  </si>
  <si>
    <t>Un árbol muy grande se sobreajusta. Pre-podado: detener el crecimiento antes (limitar profundidad, nº de hojas, mínimo de puntos por nodo). Post-podado: remover o fusionar nodos con poca información después de construir el árbol. Fórmula/Cómo: Hiperparámetros sklearn: max_depth, max_leaf_nodes, min_samples_split</t>
  </si>
  <si>
    <t>5.2.i</t>
  </si>
  <si>
    <t>Código de ejemplo — Programa 16 (CART sobre iris/wine/breast-cancer)</t>
  </si>
  <si>
    <t>DecisionTreeClassifier() con hiperparámetros por defecto, validado con KFold(10) en tres datasets. Resultados reales: F1 iris=0,933 (mejor que LOGR=0,907), wine=0,859, breast-cancer=0,932.</t>
  </si>
  <si>
    <t>5.2.j</t>
  </si>
  <si>
    <t>Efecto de la profundidad máxima en el sobreajuste</t>
  </si>
  <si>
    <t>Al entrenar árboles con profundidades crecientes (1,3,5,7) sobre datos 'medias lunas', las regiones de clasificación se vuelven progresivamente más complejas e irregulares: ejemplo visual directo de sobreajuste.</t>
  </si>
  <si>
    <t>5.2.k</t>
  </si>
  <si>
    <t>Importancia de características (feature_importances_)</t>
  </si>
  <si>
    <t>Atributo del modelo entrenado que indica qué tan importante fue cada característica para las decisiones del árbol, relacionado con cuánto redujo la impureza cada atributo en los nodos donde se usó. Fórmula/Cómo: dt.feature_importances_</t>
  </si>
  <si>
    <t>5.2.l</t>
  </si>
  <si>
    <t>Fronteras de CART vs LOGR</t>
  </si>
  <si>
    <t>Las fronteras de decisión de CART son ortogonales a los ejes de los atributos (cortes atributo por atributo), a diferencia de LOGR, que solo genera una única frontera lineal por clase.</t>
  </si>
  <si>
    <t>5.2.m</t>
  </si>
  <si>
    <t>Exportación gráfica del árbol</t>
  </si>
  <si>
    <t>Con export_graphviz (sklearn.tree) se genera un archivo .dot que, renderizado con graphviz, dibuja el árbol completo — útil para visualizar e interpretar el modelo entrenado. Fórmula/Cómo: export_graphviz(dt, out_file='tree.dot', ...)</t>
  </si>
  <si>
    <t>5.2.n</t>
  </si>
  <si>
    <t>Ventajas e inconvenientes de árboles de decisión (CART)</t>
  </si>
  <si>
    <t>Ventajas: interpretación jerárquica sencilla, entrenamiento y predicción rápidos, robustos a outliers/valores ausentes/distintas escalas. Inconvenientes: riesgo alto de sobreajuste y sensibilidad al desbalanceo de clases.</t>
  </si>
  <si>
    <t>5.3</t>
  </si>
  <si>
    <t>SVM — Support Vector Machines</t>
  </si>
  <si>
    <t>Tema adicional no cubierto por el manual del curso: el notebook es solo código práctico, sin celdas de teoría. Se documenta únicamente lo que el código demuestra (flujo de entrenamiento con SVC de sklearn), sin inventar teoría de hiperplano/margen/vectores de soporte que las fuentes no explican.</t>
  </si>
  <si>
    <t>Falta teoría de fuente: buscar hiperplano separador, margen máximo, vectores de soporte y catálogo de kernels en una fuente adicional (ej. documentación de scikit-learn) antes de dar por dominado este subtema.</t>
  </si>
  <si>
    <t>5.3.a</t>
  </si>
  <si>
    <t>Flujo de código SVM (SVC de sklearn)</t>
  </si>
  <si>
    <t>Replica la misma metodología que LOGR/CART: partición train/test, estandarización (StandardScaler, porque SVM es sensible a la escala), validación cruzada interna con KFold, entrenamiento final, evaluación con matriz de confusión/métricas, y curva ROC/AUC. Fórmula/Cómo: svm.SVC(C=10, random_state=42, probability=True)</t>
  </si>
  <si>
    <t>5.3.b</t>
  </si>
  <si>
    <t>Datos concretos verificables sobre la llamada a SVC</t>
  </si>
  <si>
    <t>C=10 es el hiperparámetro de regularización (su efecto no se explica en el notebook). Al no especificarse kernel, sklearn usa por defecto kernel='rbf' (base radial). probability=True habilita predict_proba (necesario para ROC/AUC) a costa de entrenamiento extra (calibración de Platt).</t>
  </si>
  <si>
    <t>5.3.c</t>
  </si>
  <si>
    <t>Conceptos NO cubiertos por las fuentes (SVM)</t>
  </si>
  <si>
    <t>Ni el PDF ni el notebook explican con texto teórico qué es un hiperplano separador, el margen máximo, los vectores de soporte, ni el catálogo de kernels (lineal, polinómico, rbf, etc.) más allá de que 'rbf' es el valor por defecto de SVC. No inventar esta teoría; buscarla en fuente adicional si se necesita para el Modo Maestro.</t>
  </si>
  <si>
    <r>
      <t>Leave-One-Out:</t>
    </r>
    <r>
      <rPr>
        <sz val="11"/>
        <color theme="1"/>
        <rFont val="Calibri"/>
        <family val="2"/>
        <scheme val="minor"/>
      </rPr>
      <t xml:space="preserve"> es una validación cruzada donde </t>
    </r>
    <r>
      <rPr>
        <i/>
        <sz val="11"/>
        <color theme="1"/>
        <rFont val="Calibri"/>
        <family val="2"/>
        <scheme val="minor"/>
      </rPr>
      <t>se deja un solo dato para test</t>
    </r>
    <r>
      <rPr>
        <sz val="11"/>
        <color theme="1"/>
        <rFont val="Calibri"/>
        <family val="2"/>
        <scheme val="minor"/>
      </rPr>
      <t xml:space="preserve"> y </t>
    </r>
    <r>
      <rPr>
        <i/>
        <sz val="11"/>
        <color theme="1"/>
        <rFont val="Calibri"/>
        <family val="2"/>
        <scheme val="minor"/>
      </rPr>
      <t>todos los demás se usan para entrenar</t>
    </r>
    <r>
      <rPr>
        <sz val="11"/>
        <color theme="1"/>
        <rFont val="Calibri"/>
        <family val="2"/>
        <scheme val="minor"/>
      </rPr>
      <t>. Luego se repite el proceso hasta que cada dato haya sido test una vez.</t>
    </r>
  </si>
  <si>
    <t>Si defines, por ejemplo, 70% para train y 30% para test, la validación estratificada respeta esa división y además mantiene aproximadamente la misma proporción de cada clase dentro de ambos grupos.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</si>
</sst>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font>
      <sz val="11"/>
      <color theme="1"/>
      <name val="Calibri"/>
      <family val="2"/>
      <scheme val="minor"/>
    </font>
    <font>
      <b/>
      <sz val="11"/>
      <color rgb="FFFFFFFF"/>
      <name val="Carlito"/>
    </font>
    <font>
      <b/>
      <sz val="11"/>
      <name val="Carlito"/>
    </font>
    <font>
      <sz val="11"/>
      <name val="Carlito"/>
    </font>
    <font>
      <b/>
      <sz val="16"/>
      <color rgb="FFFFFFFF"/>
      <name val="Carlito"/>
    </font>
    <font>
      <i/>
      <sz val="10"/>
      <name val="Carlito"/>
    </font>
    <font>
      <i/>
      <sz val="11"/>
      <color theme="1"/>
      <name val="Calibri"/>
      <family val="2"/>
      <scheme val="minor"/>
    </font>
  </fonts>
  <fills count="4">
    <fill>
      <patternFill patternType="none"/>
    </fill>
    <fill>
      <patternFill patternType="gray125"/>
    </fill>
    <fill>
      <patternFill patternType="solid">
        <fgColor rgb="FF1128B2"/>
      </patternFill>
    </fill>
    <fill>
      <patternFill patternType="solid">
        <fgColor rgb="FF16284A"/>
      </patternFill>
    </fill>
  </fills>
  <borders count="1">
    <border>
      <left/>
      <right/>
      <top/>
      <bottom/>
      <diagonal/>
    </border>
  </borders>
  <cellStyleXfs count="1">
    <xf numFmtId="0" fontId="0" fillId="0" borderId="0"/>
  </cellStyleXfs>
  <cellXfs count="14">
    <xf numFmtId="0" fontId="0" fillId="0" borderId="0" xfId="0"/>
    <xf numFmtId="0" fontId="1" fillId="2" borderId="0" xfId="0" applyFont="1" applyFill="1"/>
    <xf numFmtId="0" fontId="2" fillId="0" borderId="0" xfId="0" applyFont="1" applyAlignment="1">
      <alignment vertical="top" wrapText="1"/>
    </xf>
    <xf numFmtId="0" fontId="3" fillId="0" borderId="0" xfId="0" applyFont="1" applyAlignment="1">
      <alignment vertical="top" wrapText="1"/>
    </xf>
    <xf numFmtId="0" fontId="3" fillId="0" borderId="0" xfId="0" applyFont="1"/>
    <xf numFmtId="0" fontId="2" fillId="0" borderId="0" xfId="0" applyFont="1"/>
    <xf numFmtId="164" fontId="3" fillId="0" borderId="0" xfId="0" applyNumberFormat="1" applyFont="1"/>
    <xf numFmtId="164" fontId="2" fillId="0" borderId="0" xfId="0" applyNumberFormat="1" applyFont="1"/>
    <xf numFmtId="0" fontId="2" fillId="0" borderId="0" xfId="0" applyFont="1" applyAlignment="1">
      <alignment vertical="center" wrapText="1"/>
    </xf>
    <xf numFmtId="0" fontId="0" fillId="0" borderId="0" xfId="0"/>
    <xf numFmtId="0" fontId="3" fillId="0" borderId="0" xfId="0" applyFont="1" applyAlignment="1">
      <alignment vertical="center" wrapText="1"/>
    </xf>
    <xf numFmtId="0" fontId="4" fillId="3" borderId="0" xfId="0" applyFont="1" applyFill="1" applyAlignment="1">
      <alignment vertical="center" wrapText="1"/>
    </xf>
    <xf numFmtId="0" fontId="5" fillId="0" borderId="0" xfId="0" applyFont="1" applyAlignment="1">
      <alignment vertical="top" wrapText="1"/>
    </xf>
    <xf numFmtId="0" fontId="6" fillId="0" borderId="0" xfId="0" applyFont="1"/>
  </cellXfs>
  <cellStyles count="1">
    <cellStyle name="Normal" xfId="0" builtinId="0"/>
  </cellStyles>
  <dxfs count="9">
    <dxf>
      <font>
        <color rgb="FF9A3412"/>
      </font>
      <fill>
        <patternFill patternType="solid">
          <fgColor rgb="FFFFF7ED"/>
        </patternFill>
      </fill>
    </dxf>
    <dxf>
      <font>
        <b/>
        <color rgb="FF991B1B"/>
      </font>
      <fill>
        <patternFill patternType="solid">
          <fgColor rgb="FFFEE2E2"/>
        </patternFill>
      </fill>
    </dxf>
    <dxf>
      <font>
        <b/>
        <color rgb="FF991B1B"/>
      </font>
      <fill>
        <patternFill patternType="solid">
          <fgColor rgb="FFFEE2E2"/>
        </patternFill>
      </fill>
    </dxf>
    <dxf>
      <font>
        <b/>
        <color rgb="FF374151"/>
      </font>
      <fill>
        <patternFill patternType="solid">
          <fgColor rgb="FFF3F4F6"/>
        </patternFill>
      </fill>
    </dxf>
    <dxf>
      <font>
        <b/>
        <color rgb="FF9A3412"/>
      </font>
      <fill>
        <patternFill patternType="solid">
          <fgColor rgb="FFFFEDD5"/>
        </patternFill>
      </fill>
    </dxf>
    <dxf>
      <font>
        <b/>
        <color rgb="FF9A3412"/>
      </font>
      <fill>
        <patternFill patternType="solid">
          <fgColor rgb="FFFFEDD5"/>
        </patternFill>
      </fill>
    </dxf>
    <dxf>
      <font>
        <b/>
        <color rgb="FF92400E"/>
      </font>
      <fill>
        <patternFill patternType="solid">
          <fgColor rgb="FFFEF3C7"/>
        </patternFill>
      </fill>
    </dxf>
    <dxf>
      <font>
        <b/>
        <color rgb="FF166534"/>
      </font>
      <fill>
        <patternFill patternType="solid">
          <fgColor rgb="FFDCFCE7"/>
        </patternFill>
      </fill>
    </dxf>
    <dxf>
      <font>
        <b/>
        <color rgb="FF166534"/>
      </font>
      <fill>
        <patternFill patternType="solid">
          <fgColor rgb="FFDCFCE7"/>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6"/>
  <sheetViews>
    <sheetView workbookViewId="0">
      <selection sqref="A1:H1"/>
    </sheetView>
  </sheetViews>
  <sheetFormatPr baseColWidth="10" defaultColWidth="9.140625" defaultRowHeight="15"/>
  <cols>
    <col min="1" max="1" width="26" customWidth="1"/>
    <col min="2" max="3" width="12" customWidth="1"/>
    <col min="4" max="4" width="22" customWidth="1"/>
    <col min="5" max="5" width="20" customWidth="1"/>
    <col min="6" max="6" width="38" customWidth="1"/>
    <col min="7" max="7" width="34" customWidth="1"/>
    <col min="8" max="8" width="12" customWidth="1"/>
    <col min="10" max="10" width="9" customWidth="1"/>
    <col min="11" max="11" width="7" customWidth="1"/>
    <col min="12" max="12" width="34" customWidth="1"/>
    <col min="13" max="13" width="16" customWidth="1"/>
    <col min="14" max="14" width="11" customWidth="1"/>
  </cols>
  <sheetData>
    <row r="1" spans="1:14" ht="26.1" customHeight="1">
      <c r="A1" s="11" t="s">
        <v>0</v>
      </c>
      <c r="B1" s="9"/>
      <c r="C1" s="9"/>
      <c r="D1" s="9"/>
      <c r="E1" s="9"/>
      <c r="F1" s="9"/>
      <c r="G1" s="9"/>
      <c r="H1" s="9"/>
      <c r="J1" s="8" t="s">
        <v>1</v>
      </c>
      <c r="K1" s="9"/>
      <c r="L1" s="9"/>
      <c r="M1" s="9"/>
      <c r="N1" s="9"/>
    </row>
    <row r="2" spans="1:14">
      <c r="J2" s="1" t="s">
        <v>2</v>
      </c>
      <c r="K2" s="1" t="s">
        <v>3</v>
      </c>
      <c r="L2" s="1" t="s">
        <v>4</v>
      </c>
      <c r="M2" s="1" t="s">
        <v>5</v>
      </c>
      <c r="N2" s="1" t="s">
        <v>6</v>
      </c>
    </row>
    <row r="3" spans="1:14" ht="30" customHeight="1">
      <c r="A3" s="12" t="s">
        <v>7</v>
      </c>
      <c r="B3" s="9"/>
      <c r="C3" s="9"/>
      <c r="D3" s="9"/>
      <c r="E3" s="9"/>
      <c r="F3" s="9"/>
      <c r="G3" s="9"/>
      <c r="H3" s="9"/>
      <c r="J3" s="4" t="str">
        <f>'Mapa de estudio'!A2</f>
        <v>1</v>
      </c>
      <c r="K3" s="4" t="str">
        <f t="shared" ref="K3:K36" si="0">LEFT(J3,FIND(".",J3&amp;".")-1)</f>
        <v>1</v>
      </c>
      <c r="L3" s="4" t="str">
        <f>'Mapa de estudio'!C2</f>
        <v>FUNDAMENTOS Y PREPARACIÓN DE DATOS</v>
      </c>
      <c r="M3" s="4" t="str">
        <f>'Mapa de estudio'!E2</f>
        <v>🟢 Comprendido</v>
      </c>
      <c r="N3" s="4" t="str">
        <f>'Mapa de estudio'!H2</f>
        <v>Alta</v>
      </c>
    </row>
    <row r="4" spans="1:14">
      <c r="J4" s="4" t="str">
        <f>'Mapa de estudio'!A3</f>
        <v>1.1</v>
      </c>
      <c r="K4" s="4" t="str">
        <f t="shared" si="0"/>
        <v>1</v>
      </c>
      <c r="L4" s="4" t="str">
        <f>'Mapa de estudio'!C3</f>
        <v>Metodología CRISP-DM</v>
      </c>
      <c r="M4" s="4" t="str">
        <f>'Mapa de estudio'!E3</f>
        <v>🟢 Comprendido</v>
      </c>
      <c r="N4" s="4" t="str">
        <f>'Mapa de estudio'!H3</f>
        <v>Alta</v>
      </c>
    </row>
    <row r="5" spans="1:14">
      <c r="A5" s="8" t="s">
        <v>8</v>
      </c>
      <c r="B5" s="9"/>
      <c r="C5" s="8" t="s">
        <v>9</v>
      </c>
      <c r="D5" s="9"/>
      <c r="E5" s="8" t="s">
        <v>10</v>
      </c>
      <c r="F5" s="9"/>
      <c r="G5" s="8" t="s">
        <v>11</v>
      </c>
      <c r="H5" s="9"/>
      <c r="J5" s="4" t="str">
        <f>'Mapa de estudio'!A11</f>
        <v>1.2</v>
      </c>
      <c r="K5" s="4" t="str">
        <f t="shared" si="0"/>
        <v>1</v>
      </c>
      <c r="L5" s="4" t="str">
        <f>'Mapa de estudio'!C11</f>
        <v>Tipos de aprendizaje (supervisado / no supervisado / otros)</v>
      </c>
      <c r="M5" s="4" t="str">
        <f>'Mapa de estudio'!E11</f>
        <v>🟢 Comprendido</v>
      </c>
      <c r="N5" s="4" t="str">
        <f>'Mapa de estudio'!H11</f>
        <v>Alta</v>
      </c>
    </row>
    <row r="6" spans="1:14">
      <c r="A6" s="10">
        <f>COUNTA('Mapa de estudio'!$A$2:$A$186)</f>
        <v>185</v>
      </c>
      <c r="B6" s="9"/>
      <c r="C6" s="10">
        <f>COUNTIF('Mapa de estudio'!$E$2:$E$186,"🟢 Firme")+COUNTIF('Mapa de estudio'!$E$2:$E$186,"🟢 Comprendido")</f>
        <v>54</v>
      </c>
      <c r="D6" s="9"/>
      <c r="E6" s="10">
        <f>COUNTIF('Mapa de estudio'!$E$2:$E$186,"⚪ Pendiente")</f>
        <v>121</v>
      </c>
      <c r="F6" s="9"/>
      <c r="G6" s="10">
        <f>COUNTIF('Mapa de estudio'!$E$2:$E$186,"🔴 Débil")</f>
        <v>4</v>
      </c>
      <c r="H6" s="9"/>
      <c r="J6" s="4" t="str">
        <f>'Mapa de estudio'!A18</f>
        <v>1.3</v>
      </c>
      <c r="K6" s="4" t="str">
        <f t="shared" si="0"/>
        <v>1</v>
      </c>
      <c r="L6" s="4" t="str">
        <f>'Mapa de estudio'!C18</f>
        <v>Estructura de datos: instancias, atributos y clase</v>
      </c>
      <c r="M6" s="4" t="str">
        <f>'Mapa de estudio'!E18</f>
        <v>🟢 Comprendido</v>
      </c>
      <c r="N6" s="4" t="str">
        <f>'Mapa de estudio'!H18</f>
        <v>Alta</v>
      </c>
    </row>
    <row r="7" spans="1:14">
      <c r="J7" s="4" t="str">
        <f>'Mapa de estudio'!A25</f>
        <v>1.4</v>
      </c>
      <c r="K7" s="4" t="str">
        <f t="shared" si="0"/>
        <v>1</v>
      </c>
      <c r="L7" s="4" t="str">
        <f>'Mapa de estudio'!C25</f>
        <v>Limpieza de datos — introducción</v>
      </c>
      <c r="M7" s="4" t="str">
        <f>'Mapa de estudio'!E25</f>
        <v>🟢 Comprendido</v>
      </c>
      <c r="N7" s="4" t="str">
        <f>'Mapa de estudio'!H25</f>
        <v>Media</v>
      </c>
    </row>
    <row r="8" spans="1:14">
      <c r="J8" s="4" t="str">
        <f>'Mapa de estudio'!A28</f>
        <v>1.5</v>
      </c>
      <c r="K8" s="4" t="str">
        <f t="shared" si="0"/>
        <v>1</v>
      </c>
      <c r="L8" s="4" t="str">
        <f>'Mapa de estudio'!C28</f>
        <v>Normalización y estandarización</v>
      </c>
      <c r="M8" s="4" t="str">
        <f>'Mapa de estudio'!E28</f>
        <v>🟢 Comprendido</v>
      </c>
      <c r="N8" s="4" t="str">
        <f>'Mapa de estudio'!H28</f>
        <v>Alta</v>
      </c>
    </row>
    <row r="9" spans="1:14">
      <c r="A9" s="5" t="s">
        <v>5</v>
      </c>
      <c r="B9" s="5" t="s">
        <v>12</v>
      </c>
      <c r="D9" s="8" t="s">
        <v>13</v>
      </c>
      <c r="E9" s="9"/>
      <c r="F9" s="9"/>
      <c r="G9" s="9"/>
      <c r="H9" s="9"/>
      <c r="J9" s="4" t="str">
        <f>'Mapa de estudio'!A33</f>
        <v>1.6</v>
      </c>
      <c r="K9" s="4" t="str">
        <f t="shared" si="0"/>
        <v>1</v>
      </c>
      <c r="L9" s="4" t="str">
        <f>'Mapa de estudio'!C33</f>
        <v>Detección de outliers</v>
      </c>
      <c r="M9" s="4" t="str">
        <f>'Mapa de estudio'!E33</f>
        <v>🟢 Comprendido</v>
      </c>
      <c r="N9" s="4" t="str">
        <f>'Mapa de estudio'!H33</f>
        <v>Alta</v>
      </c>
    </row>
    <row r="10" spans="1:14">
      <c r="A10" s="4" t="s">
        <v>14</v>
      </c>
      <c r="B10" s="4">
        <f>COUNTIF('Mapa de estudio'!$E$2:$E$186,A10)</f>
        <v>0</v>
      </c>
      <c r="D10" s="1" t="s">
        <v>15</v>
      </c>
      <c r="E10" s="1" t="s">
        <v>5</v>
      </c>
      <c r="F10" s="1" t="s">
        <v>16</v>
      </c>
      <c r="G10" s="1" t="s">
        <v>17</v>
      </c>
      <c r="H10" s="1" t="s">
        <v>6</v>
      </c>
      <c r="J10" s="4" t="str">
        <f>'Mapa de estudio'!A39</f>
        <v>1.7</v>
      </c>
      <c r="K10" s="4" t="str">
        <f t="shared" si="0"/>
        <v>1</v>
      </c>
      <c r="L10" s="4" t="str">
        <f>'Mapa de estudio'!C39</f>
        <v>Imputación de valores ausentes</v>
      </c>
      <c r="M10" s="4" t="str">
        <f>'Mapa de estudio'!E39</f>
        <v>🔴 Débil</v>
      </c>
      <c r="N10" s="4" t="str">
        <f>'Mapa de estudio'!H39</f>
        <v>Alta</v>
      </c>
    </row>
    <row r="11" spans="1:14" ht="30" customHeight="1">
      <c r="A11" s="4" t="s">
        <v>18</v>
      </c>
      <c r="B11" s="4">
        <f>COUNTIF('Mapa de estudio'!$E$2:$E$186,A11)</f>
        <v>54</v>
      </c>
      <c r="D11" s="3" t="str">
        <f>'Mapa de estudio'!C3</f>
        <v>Metodología CRISP-DM</v>
      </c>
      <c r="E11" s="3" t="str">
        <f>'Mapa de estudio'!E3</f>
        <v>🟢 Comprendido</v>
      </c>
      <c r="F11" s="3" t="str">
        <f>'Mapa de estudio'!F3&amp;""</f>
        <v>Es el proceso estándar más usado en minería de datos para estructurar un proyecto de aprendizaje automático, de principio a fin. Tiene 6 fases con dependencias secuenciales y cíclicas (puede haber iteraciones).</v>
      </c>
      <c r="G11" s="3" t="str">
        <f>'Mapa de estudio'!G3&amp;""</f>
        <v>Aplicar las 6 fases a un caso real y ubicar en qué fase encaja cada tarea del curso (limpieza, modelado, evaluación).</v>
      </c>
      <c r="H11" s="3" t="str">
        <f>'Mapa de estudio'!H3</f>
        <v>Alta</v>
      </c>
      <c r="J11" s="4" t="str">
        <f>'Mapa de estudio'!A44</f>
        <v>1.8</v>
      </c>
      <c r="K11" s="4" t="str">
        <f t="shared" si="0"/>
        <v>1</v>
      </c>
      <c r="L11" s="4" t="str">
        <f>'Mapa de estudio'!C44</f>
        <v>Selección de atributos</v>
      </c>
      <c r="M11" s="4" t="str">
        <f>'Mapa de estudio'!E44</f>
        <v>🟠 Parcial</v>
      </c>
      <c r="N11" s="4" t="str">
        <f>'Mapa de estudio'!H44</f>
        <v>Media</v>
      </c>
    </row>
    <row r="12" spans="1:14" ht="30" customHeight="1">
      <c r="A12" s="4" t="s">
        <v>19</v>
      </c>
      <c r="B12" s="4">
        <f>COUNTIF('Mapa de estudio'!$E$2:$E$186,A12)</f>
        <v>5</v>
      </c>
      <c r="D12" s="3" t="str">
        <f>'Mapa de estudio'!C11</f>
        <v>Tipos de aprendizaje (supervisado / no supervisado / otros)</v>
      </c>
      <c r="E12" s="3" t="str">
        <f>'Mapa de estudio'!E11</f>
        <v>🟢 Comprendido</v>
      </c>
      <c r="F12" s="3" t="str">
        <f>'Mapa de estudio'!F11&amp;""</f>
        <v>Distinción fundamental: si el dataset tiene una variable de salida es aprendizaje supervisado (predicción/inferencia); si no la tiene, es no supervisado. Existen además variantes intermedias (semisupervisado, refuerzo).</v>
      </c>
      <c r="G12" s="3" t="str">
        <f>'Mapa de estudio'!G11&amp;""</f>
        <v>Practicar clasificando problemas reales como regresión, clasificación, clustering o reglas de asociación.</v>
      </c>
      <c r="H12" s="3" t="str">
        <f>'Mapa de estudio'!H11</f>
        <v>Alta</v>
      </c>
      <c r="J12" s="4" t="str">
        <f>'Mapa de estudio'!A50</f>
        <v>2</v>
      </c>
      <c r="K12" s="4" t="str">
        <f t="shared" si="0"/>
        <v>2</v>
      </c>
      <c r="L12" s="4" t="str">
        <f>'Mapa de estudio'!C50</f>
        <v>VALIDACIÓN DE MODELOS Y MÉTRICAS DE EVALUACIÓN</v>
      </c>
      <c r="M12" s="4" t="str">
        <f>'Mapa de estudio'!E50</f>
        <v>🟢 Comprendido</v>
      </c>
      <c r="N12" s="4" t="str">
        <f>'Mapa de estudio'!H50</f>
        <v>Alta</v>
      </c>
    </row>
    <row r="13" spans="1:14" ht="30" customHeight="1">
      <c r="A13" s="4" t="s">
        <v>20</v>
      </c>
      <c r="B13" s="4">
        <f>COUNTIF('Mapa de estudio'!$E$2:$E$186,A13)</f>
        <v>0</v>
      </c>
      <c r="D13" s="3" t="str">
        <f>'Mapa de estudio'!C18</f>
        <v>Estructura de datos: instancias, atributos y clase</v>
      </c>
      <c r="E13" s="3" t="str">
        <f>'Mapa de estudio'!E18</f>
        <v>🟢 Comprendido</v>
      </c>
      <c r="F13" s="3" t="str">
        <f>'Mapa de estudio'!F18&amp;""</f>
        <v>La tabla de datos (dataset) es la estructura fundamental: filas = instancias, columnas = atributos (más la clase, que es la variable de salida). Notación formal: X (atributos), y (clase).</v>
      </c>
      <c r="G13" s="3" t="str">
        <f>'Mapa de estudio'!G18&amp;""</f>
        <v>Practicar identificando instancias, atributos y clase en un dataset real como iris o penguins.</v>
      </c>
      <c r="H13" s="3" t="str">
        <f>'Mapa de estudio'!H18</f>
        <v>Alta</v>
      </c>
      <c r="J13" s="4" t="str">
        <f>'Mapa de estudio'!A51</f>
        <v>2.1</v>
      </c>
      <c r="K13" s="4" t="str">
        <f t="shared" si="0"/>
        <v>2</v>
      </c>
      <c r="L13" s="4" t="str">
        <f>'Mapa de estudio'!C51</f>
        <v>Introducción: entrenamiento, test, sobreajuste y subajuste</v>
      </c>
      <c r="M13" s="4" t="str">
        <f>'Mapa de estudio'!E51</f>
        <v>🟢 Comprendido</v>
      </c>
      <c r="N13" s="4" t="str">
        <f>'Mapa de estudio'!H51</f>
        <v>Alta</v>
      </c>
    </row>
    <row r="14" spans="1:14" ht="30" customHeight="1">
      <c r="A14" s="4" t="s">
        <v>21</v>
      </c>
      <c r="B14" s="4">
        <f>COUNTIF('Mapa de estudio'!$E$2:$E$186,A14)</f>
        <v>1</v>
      </c>
      <c r="D14" s="3" t="str">
        <f>'Mapa de estudio'!C25</f>
        <v>Limpieza de datos — introducción</v>
      </c>
      <c r="E14" s="3" t="str">
        <f>'Mapa de estudio'!E25</f>
        <v>🟢 Comprendido</v>
      </c>
      <c r="F14" s="3" t="str">
        <f>'Mapa de estudio'!F25&amp;""</f>
        <v>Tarea fundamental dentro de la fase de preparación de datos de CRISP-DM: elimina defectos y adapta los datos para que expongan sus patrones con la mayor nitidez posible antes del modelado.</v>
      </c>
      <c r="G14" s="3" t="str">
        <f>'Mapa de estudio'!G25&amp;""</f>
        <v>Repasar junto con las 4 técnicas concretas (normalización, outliers, imputación, selección) que desarrollan esta fase.</v>
      </c>
      <c r="H14" s="3" t="str">
        <f>'Mapa de estudio'!H25</f>
        <v>Media</v>
      </c>
      <c r="J14" s="4" t="str">
        <f>'Mapa de estudio'!A57</f>
        <v>2.2</v>
      </c>
      <c r="K14" s="4" t="str">
        <f t="shared" si="0"/>
        <v>2</v>
      </c>
      <c r="L14" s="4" t="str">
        <f>'Mapa de estudio'!C57</f>
        <v>Validación hold-out</v>
      </c>
      <c r="M14" s="4" t="str">
        <f>'Mapa de estudio'!E57</f>
        <v>🟢 Comprendido</v>
      </c>
      <c r="N14" s="4" t="str">
        <f>'Mapa de estudio'!H57</f>
        <v>Alta</v>
      </c>
    </row>
    <row r="15" spans="1:14" ht="30" customHeight="1">
      <c r="A15" s="4" t="s">
        <v>22</v>
      </c>
      <c r="B15" s="4">
        <f>COUNTIF('Mapa de estudio'!$E$2:$E$186,A15)</f>
        <v>121</v>
      </c>
      <c r="D15" s="3" t="str">
        <f>'Mapa de estudio'!C28</f>
        <v>Normalización y estandarización</v>
      </c>
      <c r="E15" s="3" t="str">
        <f>'Mapa de estudio'!E28</f>
        <v>🟢 Comprendido</v>
      </c>
      <c r="F15" s="3" t="str">
        <f>'Mapa de estudio'!F28&amp;""</f>
        <v>Dos técnicas para llevar los atributos numéricos a una escala común (centrar y escalar), evitando que un atributo con mayor escala domine artificialmente sobre otro de igual importancia real. Fórmula/Cómo: Normalización: x_N=(x-min)/(max-min); Estandarización: x_S=(x-media)/desviación</v>
      </c>
      <c r="G15" s="3" t="str">
        <f>'Mapa de estudio'!G28&amp;""</f>
        <v>Practicar aplicando MinMaxScaler y StandardScaler con fit en train y transform en test.</v>
      </c>
      <c r="H15" s="3" t="str">
        <f>'Mapa de estudio'!H28</f>
        <v>Alta</v>
      </c>
      <c r="J15" s="4" t="str">
        <f>'Mapa de estudio'!A62</f>
        <v>2.3</v>
      </c>
      <c r="K15" s="4" t="str">
        <f t="shared" si="0"/>
        <v>2</v>
      </c>
      <c r="L15" s="4" t="str">
        <f>'Mapa de estudio'!C62</f>
        <v>Validación cruzada / K-fold</v>
      </c>
      <c r="M15" s="4" t="str">
        <f>'Mapa de estudio'!E62</f>
        <v>🟢 Comprendido</v>
      </c>
      <c r="N15" s="4" t="str">
        <f>'Mapa de estudio'!H62</f>
        <v>Alta</v>
      </c>
    </row>
    <row r="16" spans="1:14" ht="30" customHeight="1">
      <c r="A16" s="4" t="s">
        <v>23</v>
      </c>
      <c r="B16" s="4">
        <f>COUNTIF('Mapa de estudio'!$E$2:$E$186,A16)</f>
        <v>4</v>
      </c>
      <c r="D16" s="3" t="str">
        <f>'Mapa de estudio'!C33</f>
        <v>Detección de outliers</v>
      </c>
      <c r="E16" s="3" t="str">
        <f>'Mapa de estudio'!E33</f>
        <v>🟢 Comprendido</v>
      </c>
      <c r="F16" s="3" t="str">
        <f>'Mapa de estudio'!F33&amp;""</f>
        <v>Identificar valores anómalos fuera de la distribución natural de los datos, que pueden reducir la eficacia de los modelos. El límite entre outlier y no-outlier suele ser difuso.</v>
      </c>
      <c r="G16" s="3" t="str">
        <f>'Mapa de estudio'!G33&amp;""</f>
        <v>Practicar EllipticEnvelope y el método boxplot sobre el dataset outliers.csv.</v>
      </c>
      <c r="H16" s="3" t="str">
        <f>'Mapa de estudio'!H33</f>
        <v>Alta</v>
      </c>
      <c r="J16" s="4" t="str">
        <f>'Mapa de estudio'!A68</f>
        <v>2.4</v>
      </c>
      <c r="K16" s="4" t="str">
        <f t="shared" si="0"/>
        <v>2</v>
      </c>
      <c r="L16" s="4" t="str">
        <f>'Mapa de estudio'!C68</f>
        <v>Ajuste de parámetros y validación anidada</v>
      </c>
      <c r="M16" s="4" t="str">
        <f>'Mapa de estudio'!E68</f>
        <v>⚪ Pendiente</v>
      </c>
      <c r="N16" s="4" t="str">
        <f>'Mapa de estudio'!H68</f>
        <v>Alta</v>
      </c>
    </row>
    <row r="17" spans="1:14" ht="30" customHeight="1">
      <c r="D17" s="3" t="str">
        <f>'Mapa de estudio'!C39</f>
        <v>Imputación de valores ausentes</v>
      </c>
      <c r="E17" s="3" t="str">
        <f>'Mapa de estudio'!E39</f>
        <v>🔴 Débil</v>
      </c>
      <c r="F17" s="3" t="str">
        <f>'Mapa de estudio'!F39&amp;""</f>
        <v>Reemplazar valores ausentes (missing values / NaN) por valores estimados, en vez de eliminar instancias completas, para no perder información.</v>
      </c>
      <c r="G17" s="3" t="str">
        <f>'Mapa de estudio'!G39&amp;""</f>
        <v>Practicar SimpleImputer sobre datos reales (penguins.csv) con fit/transform.</v>
      </c>
      <c r="H17" s="3" t="str">
        <f>'Mapa de estudio'!H39</f>
        <v>Alta</v>
      </c>
      <c r="J17" s="4" t="str">
        <f>'Mapa de estudio'!A73</f>
        <v>2.5</v>
      </c>
      <c r="K17" s="4" t="str">
        <f t="shared" si="0"/>
        <v>2</v>
      </c>
      <c r="L17" s="4" t="str">
        <f>'Mapa de estudio'!C73</f>
        <v>Evaluación en regresión: MAE, MSE, RMSE, MAPE</v>
      </c>
      <c r="M17" s="4" t="str">
        <f>'Mapa de estudio'!E73</f>
        <v>⚪ Pendiente</v>
      </c>
      <c r="N17" s="4" t="str">
        <f>'Mapa de estudio'!H73</f>
        <v>Alta</v>
      </c>
    </row>
    <row r="18" spans="1:14" ht="30" customHeight="1">
      <c r="D18" s="3" t="str">
        <f>'Mapa de estudio'!C44</f>
        <v>Selección de atributos</v>
      </c>
      <c r="E18" s="3" t="str">
        <f>'Mapa de estudio'!E44</f>
        <v>🟠 Parcial</v>
      </c>
      <c r="F18" s="3" t="str">
        <f>'Mapa de estudio'!F44&amp;""</f>
        <v>Subtarea de la reducción de dimensionalidad: elimina atributos poco útiles usando un algoritmo de evaluación que mide su 'bondad', ya sea de forma individual (univariante) o en conjunto (multivariante).</v>
      </c>
      <c r="G18" s="3" t="str">
        <f>'Mapa de estudio'!G44&amp;""</f>
        <v>Practicar VarianceThreshold, f_regression y mutual_info_regression sobre datos sintéticos y iris.</v>
      </c>
      <c r="H18" s="3" t="str">
        <f>'Mapa de estudio'!H44</f>
        <v>Media</v>
      </c>
      <c r="J18" s="4" t="str">
        <f>'Mapa de estudio'!A79</f>
        <v>2.6</v>
      </c>
      <c r="K18" s="4" t="str">
        <f t="shared" si="0"/>
        <v>2</v>
      </c>
      <c r="L18" s="4" t="str">
        <f>'Mapa de estudio'!C79</f>
        <v>Evaluación en clasificación: matriz de confusión, precisión, sensibilidad, F1, accuracy</v>
      </c>
      <c r="M18" s="4" t="str">
        <f>'Mapa de estudio'!E79</f>
        <v>⚪ Pendiente</v>
      </c>
      <c r="N18" s="4" t="str">
        <f>'Mapa de estudio'!H79</f>
        <v>Alta</v>
      </c>
    </row>
    <row r="19" spans="1:14">
      <c r="J19" s="4" t="str">
        <f>'Mapa de estudio'!A87</f>
        <v>3</v>
      </c>
      <c r="K19" s="4" t="str">
        <f t="shared" si="0"/>
        <v>3</v>
      </c>
      <c r="L19" s="4" t="str">
        <f>'Mapa de estudio'!C87</f>
        <v>EXTRACCIÓN DE CARACTERÍSTICAS (VARIABLES E IMÁGENES)</v>
      </c>
      <c r="M19" s="4" t="str">
        <f>'Mapa de estudio'!E87</f>
        <v>⚪ Pendiente</v>
      </c>
      <c r="N19" s="4" t="str">
        <f>'Mapa de estudio'!H87</f>
        <v>Alta</v>
      </c>
    </row>
    <row r="20" spans="1:14">
      <c r="A20" s="12" t="s">
        <v>24</v>
      </c>
      <c r="B20" s="9"/>
      <c r="C20" s="9"/>
      <c r="D20" s="9"/>
      <c r="E20" s="9"/>
      <c r="F20" s="9"/>
      <c r="G20" s="9"/>
      <c r="H20" s="9"/>
      <c r="J20" s="4" t="str">
        <f>'Mapa de estudio'!A88</f>
        <v>3.1</v>
      </c>
      <c r="K20" s="4" t="str">
        <f t="shared" si="0"/>
        <v>3</v>
      </c>
      <c r="L20" s="4" t="str">
        <f>'Mapa de estudio'!C88</f>
        <v>Conceptos básicos y variable estadística</v>
      </c>
      <c r="M20" s="4" t="str">
        <f>'Mapa de estudio'!E88</f>
        <v>⚪ Pendiente</v>
      </c>
      <c r="N20" s="4" t="str">
        <f>'Mapa de estudio'!H88</f>
        <v>Media</v>
      </c>
    </row>
    <row r="21" spans="1:14">
      <c r="A21" s="9"/>
      <c r="B21" s="9"/>
      <c r="C21" s="9"/>
      <c r="D21" s="9"/>
      <c r="E21" s="9"/>
      <c r="F21" s="9"/>
      <c r="G21" s="9"/>
      <c r="H21" s="9"/>
      <c r="J21" s="4" t="str">
        <f>'Mapa de estudio'!A93</f>
        <v>3.2</v>
      </c>
      <c r="K21" s="4" t="str">
        <f t="shared" si="0"/>
        <v>3</v>
      </c>
      <c r="L21" s="4" t="str">
        <f>'Mapa de estudio'!C93</f>
        <v>Análisis de variables cualitativas</v>
      </c>
      <c r="M21" s="4" t="str">
        <f>'Mapa de estudio'!E93</f>
        <v>⚪ Pendiente</v>
      </c>
      <c r="N21" s="4" t="str">
        <f>'Mapa de estudio'!H93</f>
        <v>Media</v>
      </c>
    </row>
    <row r="22" spans="1:14">
      <c r="A22" s="8" t="s">
        <v>25</v>
      </c>
      <c r="B22" s="9"/>
      <c r="C22" s="9"/>
      <c r="D22" s="9"/>
      <c r="E22" s="9"/>
      <c r="F22" s="9"/>
      <c r="G22" s="9"/>
      <c r="H22" s="9"/>
      <c r="J22" s="4" t="str">
        <f>'Mapa de estudio'!A96</f>
        <v>3.3</v>
      </c>
      <c r="K22" s="4" t="str">
        <f t="shared" si="0"/>
        <v>3</v>
      </c>
      <c r="L22" s="4" t="str">
        <f>'Mapa de estudio'!C96</f>
        <v>Análisis de variables cuantitativas</v>
      </c>
      <c r="M22" s="4" t="str">
        <f>'Mapa de estudio'!E96</f>
        <v>⚪ Pendiente</v>
      </c>
      <c r="N22" s="4" t="str">
        <f>'Mapa de estudio'!H96</f>
        <v>Alta</v>
      </c>
    </row>
    <row r="23" spans="1:14">
      <c r="A23" s="1" t="s">
        <v>3</v>
      </c>
      <c r="B23" s="1" t="s">
        <v>26</v>
      </c>
      <c r="C23" s="1" t="s">
        <v>27</v>
      </c>
      <c r="D23" s="1" t="s">
        <v>28</v>
      </c>
      <c r="E23" s="1" t="s">
        <v>19</v>
      </c>
      <c r="F23" s="1" t="s">
        <v>22</v>
      </c>
      <c r="G23" s="1" t="s">
        <v>23</v>
      </c>
      <c r="H23" s="1" t="s">
        <v>29</v>
      </c>
      <c r="J23" s="4" t="str">
        <f>'Mapa de estudio'!A101</f>
        <v>3.4</v>
      </c>
      <c r="K23" s="4" t="str">
        <f t="shared" si="0"/>
        <v>3</v>
      </c>
      <c r="L23" s="4" t="str">
        <f>'Mapa de estudio'!C101</f>
        <v>Introducción a los datos 2D (la imagen como dato)</v>
      </c>
      <c r="M23" s="4" t="str">
        <f>'Mapa de estudio'!E101</f>
        <v>⚪ Pendiente</v>
      </c>
      <c r="N23" s="4" t="str">
        <f>'Mapa de estudio'!H101</f>
        <v>Alta</v>
      </c>
    </row>
    <row r="24" spans="1:14">
      <c r="A24" s="4" t="s">
        <v>30</v>
      </c>
      <c r="B24" s="4">
        <f>COUNTIF('Mapa de estudio'!$B$2:$B$186,$A24)</f>
        <v>48</v>
      </c>
      <c r="C24" s="4">
        <f>COUNTIFS('Mapa de estudio'!$B$2:$B$186,$A24,'Mapa de estudio'!$E$2:$E$186,"🟢 Firme")+COUNTIFS('Mapa de estudio'!$B$2:$B$186,$A24,'Mapa de estudio'!$E$2:$E$186,"🟢 Comprendido")</f>
        <v>38</v>
      </c>
      <c r="D24" s="4">
        <f>COUNTIFS('Mapa de estudio'!$B$2:$B$186,$A24,'Mapa de estudio'!$E$2:$E$186,"🟠 Iniciado")+COUNTIFS('Mapa de estudio'!$B$2:$B$186,$A24,'Mapa de estudio'!$E$2:$E$186,"🟠 Parcial")</f>
        <v>1</v>
      </c>
      <c r="E24" s="4">
        <f>COUNTIFS('Mapa de estudio'!$B$2:$B$186,$A24,'Mapa de estudio'!$E$2:$E$186,"🟡 Repasar")</f>
        <v>5</v>
      </c>
      <c r="F24" s="4">
        <f>COUNTIFS('Mapa de estudio'!$B$2:$B$186,$A24,'Mapa de estudio'!$E$2:$E$186,"⚪ Pendiente")</f>
        <v>0</v>
      </c>
      <c r="G24" s="4">
        <f>COUNTIFS('Mapa de estudio'!$B$2:$B$186,$A24,'Mapa de estudio'!$E$2:$E$186,"🔴 Débil")</f>
        <v>4</v>
      </c>
      <c r="H24" s="6">
        <f t="shared" ref="H24:H29" si="1">IFERROR(C24/B24,0)</f>
        <v>0.79166666666666663</v>
      </c>
      <c r="J24" s="4" t="str">
        <f>'Mapa de estudio'!A102</f>
        <v>3.5</v>
      </c>
      <c r="K24" s="4" t="str">
        <f t="shared" si="0"/>
        <v>3</v>
      </c>
      <c r="L24" s="4" t="str">
        <f>'Mapa de estudio'!C102</f>
        <v>Procesado de imagen: transformaciones de intensidad</v>
      </c>
      <c r="M24" s="4" t="str">
        <f>'Mapa de estudio'!E102</f>
        <v>⚪ Pendiente</v>
      </c>
      <c r="N24" s="4" t="str">
        <f>'Mapa de estudio'!H102</f>
        <v>Media</v>
      </c>
    </row>
    <row r="25" spans="1:14">
      <c r="A25" s="4" t="s">
        <v>31</v>
      </c>
      <c r="B25" s="4">
        <f>COUNTIF('Mapa de estudio'!$B$2:$B$186,$A25)</f>
        <v>37</v>
      </c>
      <c r="C25" s="4">
        <f>COUNTIFS('Mapa de estudio'!$B$2:$B$186,$A25,'Mapa de estudio'!$E$2:$E$186,"🟢 Firme")+COUNTIFS('Mapa de estudio'!$B$2:$B$186,$A25,'Mapa de estudio'!$E$2:$E$186,"🟢 Comprendido")</f>
        <v>16</v>
      </c>
      <c r="D25" s="4">
        <f>COUNTIFS('Mapa de estudio'!$B$2:$B$186,$A25,'Mapa de estudio'!$E$2:$E$186,"🟠 Iniciado")+COUNTIFS('Mapa de estudio'!$B$2:$B$186,$A25,'Mapa de estudio'!$E$2:$E$186,"🟠 Parcial")</f>
        <v>0</v>
      </c>
      <c r="E25" s="4">
        <f>COUNTIFS('Mapa de estudio'!$B$2:$B$186,$A25,'Mapa de estudio'!$E$2:$E$186,"🟡 Repasar")</f>
        <v>0</v>
      </c>
      <c r="F25" s="4">
        <f>COUNTIFS('Mapa de estudio'!$B$2:$B$186,$A25,'Mapa de estudio'!$E$2:$E$186,"⚪ Pendiente")</f>
        <v>21</v>
      </c>
      <c r="G25" s="4">
        <f>COUNTIFS('Mapa de estudio'!$B$2:$B$186,$A25,'Mapa de estudio'!$E$2:$E$186,"🔴 Débil")</f>
        <v>0</v>
      </c>
      <c r="H25" s="6">
        <f t="shared" si="1"/>
        <v>0.43243243243243246</v>
      </c>
      <c r="J25" s="4" t="str">
        <f>'Mapa de estudio'!A106</f>
        <v>3.6</v>
      </c>
      <c r="K25" s="4" t="str">
        <f t="shared" si="0"/>
        <v>3</v>
      </c>
      <c r="L25" s="4" t="str">
        <f>'Mapa de estudio'!C106</f>
        <v>Procesado de imagen: espacios de color y transformaciones geométricas</v>
      </c>
      <c r="M25" s="4" t="str">
        <f>'Mapa de estudio'!E106</f>
        <v>⚪ Pendiente</v>
      </c>
      <c r="N25" s="4" t="str">
        <f>'Mapa de estudio'!H106</f>
        <v>Media</v>
      </c>
    </row>
    <row r="26" spans="1:14">
      <c r="A26" s="4" t="s">
        <v>32</v>
      </c>
      <c r="B26" s="4">
        <f>COUNTIF('Mapa de estudio'!$B$2:$B$186,$A26)</f>
        <v>39</v>
      </c>
      <c r="C26" s="4">
        <f>COUNTIFS('Mapa de estudio'!$B$2:$B$186,$A26,'Mapa de estudio'!$E$2:$E$186,"🟢 Firme")+COUNTIFS('Mapa de estudio'!$B$2:$B$186,$A26,'Mapa de estudio'!$E$2:$E$186,"🟢 Comprendido")</f>
        <v>0</v>
      </c>
      <c r="D26" s="4">
        <f>COUNTIFS('Mapa de estudio'!$B$2:$B$186,$A26,'Mapa de estudio'!$E$2:$E$186,"🟠 Iniciado")+COUNTIFS('Mapa de estudio'!$B$2:$B$186,$A26,'Mapa de estudio'!$E$2:$E$186,"🟠 Parcial")</f>
        <v>0</v>
      </c>
      <c r="E26" s="4">
        <f>COUNTIFS('Mapa de estudio'!$B$2:$B$186,$A26,'Mapa de estudio'!$E$2:$E$186,"🟡 Repasar")</f>
        <v>0</v>
      </c>
      <c r="F26" s="4">
        <f>COUNTIFS('Mapa de estudio'!$B$2:$B$186,$A26,'Mapa de estudio'!$E$2:$E$186,"⚪ Pendiente")</f>
        <v>39</v>
      </c>
      <c r="G26" s="4">
        <f>COUNTIFS('Mapa de estudio'!$B$2:$B$186,$A26,'Mapa de estudio'!$E$2:$E$186,"🔴 Débil")</f>
        <v>0</v>
      </c>
      <c r="H26" s="6">
        <f t="shared" si="1"/>
        <v>0</v>
      </c>
      <c r="J26" s="4" t="str">
        <f>'Mapa de estudio'!A111</f>
        <v>3.7</v>
      </c>
      <c r="K26" s="4" t="str">
        <f t="shared" si="0"/>
        <v>3</v>
      </c>
      <c r="L26" s="4" t="str">
        <f>'Mapa de estudio'!C111</f>
        <v>Segmentación de imágenes</v>
      </c>
      <c r="M26" s="4" t="str">
        <f>'Mapa de estudio'!E111</f>
        <v>⚪ Pendiente</v>
      </c>
      <c r="N26" s="4" t="str">
        <f>'Mapa de estudio'!H111</f>
        <v>Alta</v>
      </c>
    </row>
    <row r="27" spans="1:14">
      <c r="A27" s="4" t="s">
        <v>33</v>
      </c>
      <c r="B27" s="4">
        <f>COUNTIF('Mapa de estudio'!$B$2:$B$186,$A27)</f>
        <v>27</v>
      </c>
      <c r="C27" s="4">
        <f>COUNTIFS('Mapa de estudio'!$B$2:$B$186,$A27,'Mapa de estudio'!$E$2:$E$186,"🟢 Firme")+COUNTIFS('Mapa de estudio'!$B$2:$B$186,$A27,'Mapa de estudio'!$E$2:$E$186,"🟢 Comprendido")</f>
        <v>0</v>
      </c>
      <c r="D27" s="4">
        <f>COUNTIFS('Mapa de estudio'!$B$2:$B$186,$A27,'Mapa de estudio'!$E$2:$E$186,"🟠 Iniciado")+COUNTIFS('Mapa de estudio'!$B$2:$B$186,$A27,'Mapa de estudio'!$E$2:$E$186,"🟠 Parcial")</f>
        <v>0</v>
      </c>
      <c r="E27" s="4">
        <f>COUNTIFS('Mapa de estudio'!$B$2:$B$186,$A27,'Mapa de estudio'!$E$2:$E$186,"🟡 Repasar")</f>
        <v>0</v>
      </c>
      <c r="F27" s="4">
        <f>COUNTIFS('Mapa de estudio'!$B$2:$B$186,$A27,'Mapa de estudio'!$E$2:$E$186,"⚪ Pendiente")</f>
        <v>27</v>
      </c>
      <c r="G27" s="4">
        <f>COUNTIFS('Mapa de estudio'!$B$2:$B$186,$A27,'Mapa de estudio'!$E$2:$E$186,"🔴 Débil")</f>
        <v>0</v>
      </c>
      <c r="H27" s="6">
        <f t="shared" si="1"/>
        <v>0</v>
      </c>
      <c r="J27" s="4" t="str">
        <f>'Mapa de estudio'!A116</f>
        <v>3.8</v>
      </c>
      <c r="K27" s="4" t="str">
        <f t="shared" si="0"/>
        <v>3</v>
      </c>
      <c r="L27" s="4" t="str">
        <f>'Mapa de estudio'!C116</f>
        <v>Descriptores de forma (descriptores geométricos)</v>
      </c>
      <c r="M27" s="4" t="str">
        <f>'Mapa de estudio'!E116</f>
        <v>⚪ Pendiente</v>
      </c>
      <c r="N27" s="4" t="str">
        <f>'Mapa de estudio'!H116</f>
        <v>Alta</v>
      </c>
    </row>
    <row r="28" spans="1:14">
      <c r="A28" s="4" t="s">
        <v>34</v>
      </c>
      <c r="B28" s="4">
        <f>COUNTIF('Mapa de estudio'!$B$2:$B$186,$A28)</f>
        <v>34</v>
      </c>
      <c r="C28" s="4">
        <f>COUNTIFS('Mapa de estudio'!$B$2:$B$186,$A28,'Mapa de estudio'!$E$2:$E$186,"🟢 Firme")+COUNTIFS('Mapa de estudio'!$B$2:$B$186,$A28,'Mapa de estudio'!$E$2:$E$186,"🟢 Comprendido")</f>
        <v>0</v>
      </c>
      <c r="D28" s="4">
        <f>COUNTIFS('Mapa de estudio'!$B$2:$B$186,$A28,'Mapa de estudio'!$E$2:$E$186,"🟠 Iniciado")+COUNTIFS('Mapa de estudio'!$B$2:$B$186,$A28,'Mapa de estudio'!$E$2:$E$186,"🟠 Parcial")</f>
        <v>0</v>
      </c>
      <c r="E28" s="4">
        <f>COUNTIFS('Mapa de estudio'!$B$2:$B$186,$A28,'Mapa de estudio'!$E$2:$E$186,"🟡 Repasar")</f>
        <v>0</v>
      </c>
      <c r="F28" s="4">
        <f>COUNTIFS('Mapa de estudio'!$B$2:$B$186,$A28,'Mapa de estudio'!$E$2:$E$186,"⚪ Pendiente")</f>
        <v>34</v>
      </c>
      <c r="G28" s="4">
        <f>COUNTIFS('Mapa de estudio'!$B$2:$B$186,$A28,'Mapa de estudio'!$E$2:$E$186,"🔴 Débil")</f>
        <v>0</v>
      </c>
      <c r="H28" s="6">
        <f t="shared" si="1"/>
        <v>0</v>
      </c>
      <c r="J28" s="4" t="str">
        <f>'Mapa de estudio'!A120</f>
        <v>3.9</v>
      </c>
      <c r="K28" s="4" t="str">
        <f t="shared" si="0"/>
        <v>3</v>
      </c>
      <c r="L28" s="4" t="str">
        <f>'Mapa de estudio'!C120</f>
        <v>Descriptores de textura</v>
      </c>
      <c r="M28" s="4" t="str">
        <f>'Mapa de estudio'!E120</f>
        <v>⚪ Pendiente</v>
      </c>
      <c r="N28" s="4" t="str">
        <f>'Mapa de estudio'!H120</f>
        <v>Alta</v>
      </c>
    </row>
    <row r="29" spans="1:14">
      <c r="A29" s="5" t="s">
        <v>35</v>
      </c>
      <c r="B29" s="5">
        <f t="shared" ref="B29:G29" si="2">SUM(B24:B28)</f>
        <v>185</v>
      </c>
      <c r="C29" s="5">
        <f t="shared" si="2"/>
        <v>54</v>
      </c>
      <c r="D29" s="5">
        <f t="shared" si="2"/>
        <v>1</v>
      </c>
      <c r="E29" s="5">
        <f t="shared" si="2"/>
        <v>5</v>
      </c>
      <c r="F29" s="5">
        <f t="shared" si="2"/>
        <v>121</v>
      </c>
      <c r="G29" s="5">
        <f t="shared" si="2"/>
        <v>4</v>
      </c>
      <c r="H29" s="7">
        <f t="shared" si="1"/>
        <v>0.29189189189189191</v>
      </c>
      <c r="J29" s="4" t="str">
        <f>'Mapa de estudio'!A126</f>
        <v>4</v>
      </c>
      <c r="K29" s="4" t="str">
        <f t="shared" si="0"/>
        <v>4</v>
      </c>
      <c r="L29" s="4" t="str">
        <f>'Mapa de estudio'!C126</f>
        <v>MODELOS DE REGRESIÓN</v>
      </c>
      <c r="M29" s="4" t="str">
        <f>'Mapa de estudio'!E126</f>
        <v>⚪ Pendiente</v>
      </c>
      <c r="N29" s="4" t="str">
        <f>'Mapa de estudio'!H126</f>
        <v>Alta</v>
      </c>
    </row>
    <row r="30" spans="1:14">
      <c r="A30" s="12" t="s">
        <v>36</v>
      </c>
      <c r="B30" s="9"/>
      <c r="C30" s="9"/>
      <c r="D30" s="9"/>
      <c r="E30" s="9"/>
      <c r="F30" s="9"/>
      <c r="G30" s="9"/>
      <c r="H30" s="9"/>
      <c r="J30" s="4" t="str">
        <f>'Mapa de estudio'!A127</f>
        <v>4.1</v>
      </c>
      <c r="K30" s="4" t="str">
        <f t="shared" si="0"/>
        <v>4</v>
      </c>
      <c r="L30" s="4" t="str">
        <f>'Mapa de estudio'!C127</f>
        <v>Regresión lineal múltiple (OLS)</v>
      </c>
      <c r="M30" s="4" t="str">
        <f>'Mapa de estudio'!E127</f>
        <v>⚪ Pendiente</v>
      </c>
      <c r="N30" s="4" t="str">
        <f>'Mapa de estudio'!H127</f>
        <v>Alta</v>
      </c>
    </row>
    <row r="31" spans="1:14">
      <c r="A31" s="9"/>
      <c r="B31" s="9"/>
      <c r="C31" s="9"/>
      <c r="D31" s="9"/>
      <c r="E31" s="9"/>
      <c r="F31" s="9"/>
      <c r="G31" s="9"/>
      <c r="H31" s="9"/>
      <c r="J31" s="4" t="str">
        <f>'Mapa de estudio'!A138</f>
        <v>4.2</v>
      </c>
      <c r="K31" s="4" t="str">
        <f t="shared" si="0"/>
        <v>4</v>
      </c>
      <c r="L31" s="4" t="str">
        <f>'Mapa de estudio'!C138</f>
        <v>Regresión polinómica</v>
      </c>
      <c r="M31" s="4" t="str">
        <f>'Mapa de estudio'!E138</f>
        <v>⚪ Pendiente</v>
      </c>
      <c r="N31" s="4" t="str">
        <f>'Mapa de estudio'!H138</f>
        <v>Media</v>
      </c>
    </row>
    <row r="32" spans="1:14">
      <c r="J32" s="4" t="str">
        <f>'Mapa de estudio'!A142</f>
        <v>4.3</v>
      </c>
      <c r="K32" s="4" t="str">
        <f t="shared" si="0"/>
        <v>4</v>
      </c>
      <c r="L32" s="4" t="str">
        <f>'Mapa de estudio'!C142</f>
        <v>Vecinos más cercanos (KNN) para regresión</v>
      </c>
      <c r="M32" s="4" t="str">
        <f>'Mapa de estudio'!E142</f>
        <v>⚪ Pendiente</v>
      </c>
      <c r="N32" s="4" t="str">
        <f>'Mapa de estudio'!H142</f>
        <v>Alta</v>
      </c>
    </row>
    <row r="33" spans="10:14">
      <c r="J33" s="4" t="str">
        <f>'Mapa de estudio'!A153</f>
        <v>5</v>
      </c>
      <c r="K33" s="4" t="str">
        <f t="shared" si="0"/>
        <v>5</v>
      </c>
      <c r="L33" s="4" t="str">
        <f>'Mapa de estudio'!C153</f>
        <v>MODELOS DE CLASIFICACIÓN</v>
      </c>
      <c r="M33" s="4" t="str">
        <f>'Mapa de estudio'!E153</f>
        <v>⚪ Pendiente</v>
      </c>
      <c r="N33" s="4" t="str">
        <f>'Mapa de estudio'!H153</f>
        <v>Alta</v>
      </c>
    </row>
    <row r="34" spans="10:14">
      <c r="J34" s="4" t="str">
        <f>'Mapa de estudio'!A154</f>
        <v>5.1</v>
      </c>
      <c r="K34" s="4" t="str">
        <f t="shared" si="0"/>
        <v>5</v>
      </c>
      <c r="L34" s="4" t="str">
        <f>'Mapa de estudio'!C154</f>
        <v>Regresión logística (LOGR)</v>
      </c>
      <c r="M34" s="4" t="str">
        <f>'Mapa de estudio'!E154</f>
        <v>⚪ Pendiente</v>
      </c>
      <c r="N34" s="4" t="str">
        <f>'Mapa de estudio'!H154</f>
        <v>Alta</v>
      </c>
    </row>
    <row r="35" spans="10:14">
      <c r="J35" s="4" t="str">
        <f>'Mapa de estudio'!A168</f>
        <v>5.2</v>
      </c>
      <c r="K35" s="4" t="str">
        <f t="shared" si="0"/>
        <v>5</v>
      </c>
      <c r="L35" s="4" t="str">
        <f>'Mapa de estudio'!C168</f>
        <v>Árboles de decisión</v>
      </c>
      <c r="M35" s="4" t="str">
        <f>'Mapa de estudio'!E168</f>
        <v>⚪ Pendiente</v>
      </c>
      <c r="N35" s="4" t="str">
        <f>'Mapa de estudio'!H168</f>
        <v>Alta</v>
      </c>
    </row>
    <row r="36" spans="10:14">
      <c r="J36" s="4" t="str">
        <f>'Mapa de estudio'!A183</f>
        <v>5.3</v>
      </c>
      <c r="K36" s="4" t="str">
        <f t="shared" si="0"/>
        <v>5</v>
      </c>
      <c r="L36" s="4" t="str">
        <f>'Mapa de estudio'!C183</f>
        <v>SVM — Support Vector Machines</v>
      </c>
      <c r="M36" s="4" t="str">
        <f>'Mapa de estudio'!E183</f>
        <v>⚪ Pendiente</v>
      </c>
      <c r="N36" s="4" t="str">
        <f>'Mapa de estudio'!H183</f>
        <v>Media</v>
      </c>
    </row>
  </sheetData>
  <mergeCells count="15">
    <mergeCell ref="A22:H22"/>
    <mergeCell ref="J1:N1"/>
    <mergeCell ref="G6:H6"/>
    <mergeCell ref="A1:H1"/>
    <mergeCell ref="A30:H31"/>
    <mergeCell ref="A6:B6"/>
    <mergeCell ref="D9:H9"/>
    <mergeCell ref="A3:H3"/>
    <mergeCell ref="E6:F6"/>
    <mergeCell ref="C6:D6"/>
    <mergeCell ref="A20:H21"/>
    <mergeCell ref="C5:D5"/>
    <mergeCell ref="A5:B5"/>
    <mergeCell ref="G5:H5"/>
    <mergeCell ref="E5:F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86"/>
  <sheetViews>
    <sheetView tabSelected="1" workbookViewId="0">
      <pane ySplit="1" topLeftCell="A50" activePane="bottomLeft" state="frozen"/>
      <selection pane="bottomLeft" activeCell="F70" sqref="F70"/>
    </sheetView>
  </sheetViews>
  <sheetFormatPr baseColWidth="10" defaultColWidth="255.42578125" defaultRowHeight="15"/>
  <cols>
    <col min="1" max="1" width="8.28515625" bestFit="1" customWidth="1"/>
    <col min="2" max="2" width="41.28515625" bestFit="1" customWidth="1"/>
    <col min="3" max="3" width="82.140625" bestFit="1" customWidth="1"/>
    <col min="4" max="4" width="6.28515625" bestFit="1" customWidth="1"/>
    <col min="5" max="5" width="18.5703125" bestFit="1" customWidth="1"/>
    <col min="6" max="6" width="255.28515625" bestFit="1" customWidth="1"/>
    <col min="7" max="7" width="203" bestFit="1" customWidth="1"/>
    <col min="8" max="8" width="10.28515625" bestFit="1" customWidth="1"/>
    <col min="9" max="9" width="12.5703125" bestFit="1" customWidth="1"/>
    <col min="10" max="10" width="67.28515625" bestFit="1" customWidth="1"/>
  </cols>
  <sheetData>
    <row r="1" spans="1:10">
      <c r="A1" s="1" t="s">
        <v>2</v>
      </c>
      <c r="B1" s="1" t="s">
        <v>3</v>
      </c>
      <c r="C1" s="1" t="s">
        <v>37</v>
      </c>
      <c r="D1" s="1" t="s">
        <v>38</v>
      </c>
      <c r="E1" s="1" t="s">
        <v>5</v>
      </c>
      <c r="F1" s="1" t="s">
        <v>39</v>
      </c>
      <c r="G1" s="1" t="s">
        <v>40</v>
      </c>
      <c r="H1" s="1" t="s">
        <v>6</v>
      </c>
      <c r="I1" s="1" t="s">
        <v>41</v>
      </c>
      <c r="J1" s="1" t="s">
        <v>42</v>
      </c>
    </row>
    <row r="2" spans="1:10" ht="30">
      <c r="A2" s="2" t="s">
        <v>43</v>
      </c>
      <c r="B2" s="2" t="s">
        <v>30</v>
      </c>
      <c r="C2" s="2" t="s">
        <v>44</v>
      </c>
      <c r="D2" s="2">
        <v>0</v>
      </c>
      <c r="E2" s="2" t="s">
        <v>18</v>
      </c>
      <c r="F2" s="2" t="s">
        <v>45</v>
      </c>
      <c r="G2" s="2" t="s">
        <v>46</v>
      </c>
      <c r="H2" s="2" t="s">
        <v>47</v>
      </c>
      <c r="I2" s="2" t="s">
        <v>48</v>
      </c>
      <c r="J2" s="2" t="s">
        <v>49</v>
      </c>
    </row>
    <row r="3" spans="1:10">
      <c r="A3" s="3" t="s">
        <v>50</v>
      </c>
      <c r="B3" s="3" t="s">
        <v>30</v>
      </c>
      <c r="C3" s="3" t="s">
        <v>51</v>
      </c>
      <c r="D3" s="3">
        <v>1</v>
      </c>
      <c r="E3" s="3" t="s">
        <v>18</v>
      </c>
      <c r="F3" s="3" t="s">
        <v>52</v>
      </c>
      <c r="G3" s="3" t="s">
        <v>53</v>
      </c>
      <c r="H3" s="3" t="s">
        <v>47</v>
      </c>
      <c r="I3" s="3" t="s">
        <v>48</v>
      </c>
      <c r="J3" s="3" t="s">
        <v>49</v>
      </c>
    </row>
    <row r="4" spans="1:10">
      <c r="A4" s="3" t="s">
        <v>54</v>
      </c>
      <c r="B4" s="3" t="s">
        <v>30</v>
      </c>
      <c r="C4" s="3" t="s">
        <v>55</v>
      </c>
      <c r="D4" s="3">
        <v>2</v>
      </c>
      <c r="E4" s="3" t="s">
        <v>18</v>
      </c>
      <c r="F4" s="3" t="s">
        <v>56</v>
      </c>
      <c r="G4" s="3"/>
      <c r="H4" s="3" t="s">
        <v>57</v>
      </c>
      <c r="I4" s="3" t="s">
        <v>48</v>
      </c>
      <c r="J4" s="3" t="s">
        <v>49</v>
      </c>
    </row>
    <row r="5" spans="1:10">
      <c r="A5" s="3" t="s">
        <v>58</v>
      </c>
      <c r="B5" s="3" t="s">
        <v>30</v>
      </c>
      <c r="C5" s="3" t="s">
        <v>59</v>
      </c>
      <c r="D5" s="3">
        <v>2</v>
      </c>
      <c r="E5" s="3" t="s">
        <v>18</v>
      </c>
      <c r="F5" s="3" t="s">
        <v>60</v>
      </c>
      <c r="G5" s="3"/>
      <c r="H5" s="3" t="s">
        <v>57</v>
      </c>
      <c r="I5" s="3" t="s">
        <v>48</v>
      </c>
      <c r="J5" s="3" t="s">
        <v>49</v>
      </c>
    </row>
    <row r="6" spans="1:10">
      <c r="A6" s="3" t="s">
        <v>61</v>
      </c>
      <c r="B6" s="3" t="s">
        <v>30</v>
      </c>
      <c r="C6" s="3" t="s">
        <v>62</v>
      </c>
      <c r="D6" s="3">
        <v>2</v>
      </c>
      <c r="E6" s="3" t="s">
        <v>18</v>
      </c>
      <c r="F6" s="3" t="s">
        <v>63</v>
      </c>
      <c r="G6" s="3"/>
      <c r="H6" s="3" t="s">
        <v>47</v>
      </c>
      <c r="I6" s="3" t="s">
        <v>48</v>
      </c>
      <c r="J6" s="3" t="s">
        <v>49</v>
      </c>
    </row>
    <row r="7" spans="1:10">
      <c r="A7" s="3" t="s">
        <v>64</v>
      </c>
      <c r="B7" s="3" t="s">
        <v>30</v>
      </c>
      <c r="C7" s="3" t="s">
        <v>65</v>
      </c>
      <c r="D7" s="3">
        <v>2</v>
      </c>
      <c r="E7" s="3" t="s">
        <v>18</v>
      </c>
      <c r="F7" s="3" t="s">
        <v>66</v>
      </c>
      <c r="G7" s="3"/>
      <c r="H7" s="3" t="s">
        <v>47</v>
      </c>
      <c r="I7" s="3" t="s">
        <v>48</v>
      </c>
      <c r="J7" s="3" t="s">
        <v>49</v>
      </c>
    </row>
    <row r="8" spans="1:10">
      <c r="A8" s="3" t="s">
        <v>67</v>
      </c>
      <c r="B8" s="3" t="s">
        <v>30</v>
      </c>
      <c r="C8" s="3" t="s">
        <v>68</v>
      </c>
      <c r="D8" s="3">
        <v>2</v>
      </c>
      <c r="E8" s="3" t="s">
        <v>18</v>
      </c>
      <c r="F8" s="3" t="s">
        <v>69</v>
      </c>
      <c r="G8" s="3"/>
      <c r="H8" s="3" t="s">
        <v>57</v>
      </c>
      <c r="I8" s="3" t="s">
        <v>48</v>
      </c>
      <c r="J8" s="3" t="s">
        <v>49</v>
      </c>
    </row>
    <row r="9" spans="1:10">
      <c r="A9" s="3" t="s">
        <v>70</v>
      </c>
      <c r="B9" s="3" t="s">
        <v>30</v>
      </c>
      <c r="C9" s="3" t="s">
        <v>71</v>
      </c>
      <c r="D9" s="3">
        <v>2</v>
      </c>
      <c r="E9" s="3" t="s">
        <v>18</v>
      </c>
      <c r="F9" s="3" t="s">
        <v>72</v>
      </c>
      <c r="G9" s="3"/>
      <c r="H9" s="3" t="s">
        <v>57</v>
      </c>
      <c r="I9" s="3" t="s">
        <v>48</v>
      </c>
      <c r="J9" s="3" t="s">
        <v>49</v>
      </c>
    </row>
    <row r="10" spans="1:10">
      <c r="A10" s="3" t="s">
        <v>73</v>
      </c>
      <c r="B10" s="3" t="s">
        <v>30</v>
      </c>
      <c r="C10" s="3" t="s">
        <v>74</v>
      </c>
      <c r="D10" s="3">
        <v>2</v>
      </c>
      <c r="E10" s="3" t="s">
        <v>18</v>
      </c>
      <c r="F10" s="3" t="s">
        <v>75</v>
      </c>
      <c r="G10" s="3"/>
      <c r="H10" s="3" t="s">
        <v>76</v>
      </c>
      <c r="I10" s="3" t="s">
        <v>48</v>
      </c>
      <c r="J10" s="3" t="s">
        <v>49</v>
      </c>
    </row>
    <row r="11" spans="1:10">
      <c r="A11" s="3" t="s">
        <v>77</v>
      </c>
      <c r="B11" s="3" t="s">
        <v>30</v>
      </c>
      <c r="C11" s="3" t="s">
        <v>78</v>
      </c>
      <c r="D11" s="3">
        <v>1</v>
      </c>
      <c r="E11" s="3" t="s">
        <v>18</v>
      </c>
      <c r="F11" s="3" t="s">
        <v>79</v>
      </c>
      <c r="G11" s="3" t="s">
        <v>80</v>
      </c>
      <c r="H11" s="3" t="s">
        <v>47</v>
      </c>
      <c r="I11" s="3" t="s">
        <v>48</v>
      </c>
      <c r="J11" s="3" t="s">
        <v>49</v>
      </c>
    </row>
    <row r="12" spans="1:10">
      <c r="A12" s="3" t="s">
        <v>81</v>
      </c>
      <c r="B12" s="3" t="s">
        <v>30</v>
      </c>
      <c r="C12" s="3" t="s">
        <v>82</v>
      </c>
      <c r="D12" s="3">
        <v>2</v>
      </c>
      <c r="E12" s="3" t="s">
        <v>18</v>
      </c>
      <c r="F12" s="3" t="s">
        <v>83</v>
      </c>
      <c r="G12" s="3"/>
      <c r="H12" s="3" t="s">
        <v>47</v>
      </c>
      <c r="I12" s="3" t="s">
        <v>48</v>
      </c>
      <c r="J12" s="3" t="s">
        <v>49</v>
      </c>
    </row>
    <row r="13" spans="1:10">
      <c r="A13" s="3" t="s">
        <v>84</v>
      </c>
      <c r="B13" s="3" t="s">
        <v>30</v>
      </c>
      <c r="C13" s="3" t="s">
        <v>85</v>
      </c>
      <c r="D13" s="3">
        <v>2</v>
      </c>
      <c r="E13" s="3" t="s">
        <v>18</v>
      </c>
      <c r="F13" s="3" t="s">
        <v>86</v>
      </c>
      <c r="G13" s="3"/>
      <c r="H13" s="3" t="s">
        <v>57</v>
      </c>
      <c r="I13" s="3" t="s">
        <v>48</v>
      </c>
      <c r="J13" s="3" t="s">
        <v>49</v>
      </c>
    </row>
    <row r="14" spans="1:10">
      <c r="A14" s="3" t="s">
        <v>87</v>
      </c>
      <c r="B14" s="3" t="s">
        <v>30</v>
      </c>
      <c r="C14" s="3" t="s">
        <v>88</v>
      </c>
      <c r="D14" s="3">
        <v>2</v>
      </c>
      <c r="E14" s="3" t="s">
        <v>18</v>
      </c>
      <c r="F14" s="3" t="s">
        <v>89</v>
      </c>
      <c r="G14" s="3"/>
      <c r="H14" s="3" t="s">
        <v>57</v>
      </c>
      <c r="I14" s="3" t="s">
        <v>48</v>
      </c>
      <c r="J14" s="3" t="s">
        <v>49</v>
      </c>
    </row>
    <row r="15" spans="1:10">
      <c r="A15" s="3" t="s">
        <v>90</v>
      </c>
      <c r="B15" s="3" t="s">
        <v>30</v>
      </c>
      <c r="C15" s="3" t="s">
        <v>91</v>
      </c>
      <c r="D15" s="3">
        <v>2</v>
      </c>
      <c r="E15" s="3" t="s">
        <v>18</v>
      </c>
      <c r="F15" s="3" t="s">
        <v>92</v>
      </c>
      <c r="G15" s="3"/>
      <c r="H15" s="3" t="s">
        <v>76</v>
      </c>
      <c r="I15" s="3" t="s">
        <v>48</v>
      </c>
      <c r="J15" s="3" t="s">
        <v>49</v>
      </c>
    </row>
    <row r="16" spans="1:10">
      <c r="A16" s="3" t="s">
        <v>93</v>
      </c>
      <c r="B16" s="3" t="s">
        <v>30</v>
      </c>
      <c r="C16" s="3" t="s">
        <v>94</v>
      </c>
      <c r="D16" s="3">
        <v>2</v>
      </c>
      <c r="E16" s="3" t="s">
        <v>18</v>
      </c>
      <c r="F16" s="3" t="s">
        <v>95</v>
      </c>
      <c r="G16" s="3"/>
      <c r="H16" s="3" t="s">
        <v>76</v>
      </c>
      <c r="I16" s="3" t="s">
        <v>48</v>
      </c>
      <c r="J16" s="3" t="s">
        <v>49</v>
      </c>
    </row>
    <row r="17" spans="1:10">
      <c r="A17" s="3" t="s">
        <v>96</v>
      </c>
      <c r="B17" s="3" t="s">
        <v>30</v>
      </c>
      <c r="C17" s="3" t="s">
        <v>97</v>
      </c>
      <c r="D17" s="3">
        <v>2</v>
      </c>
      <c r="E17" s="3" t="s">
        <v>19</v>
      </c>
      <c r="F17" s="3" t="s">
        <v>98</v>
      </c>
      <c r="G17" s="3"/>
      <c r="H17" s="3" t="s">
        <v>57</v>
      </c>
      <c r="I17" s="3" t="s">
        <v>48</v>
      </c>
      <c r="J17" s="3" t="s">
        <v>49</v>
      </c>
    </row>
    <row r="18" spans="1:10">
      <c r="A18" s="3" t="s">
        <v>99</v>
      </c>
      <c r="B18" s="3" t="s">
        <v>30</v>
      </c>
      <c r="C18" s="3" t="s">
        <v>100</v>
      </c>
      <c r="D18" s="3">
        <v>1</v>
      </c>
      <c r="E18" s="3" t="s">
        <v>18</v>
      </c>
      <c r="F18" s="3" t="s">
        <v>101</v>
      </c>
      <c r="G18" s="3" t="s">
        <v>102</v>
      </c>
      <c r="H18" s="3" t="s">
        <v>47</v>
      </c>
      <c r="I18" s="3" t="s">
        <v>48</v>
      </c>
      <c r="J18" s="3" t="s">
        <v>49</v>
      </c>
    </row>
    <row r="19" spans="1:10">
      <c r="A19" s="3" t="s">
        <v>103</v>
      </c>
      <c r="B19" s="3" t="s">
        <v>30</v>
      </c>
      <c r="C19" s="3" t="s">
        <v>104</v>
      </c>
      <c r="D19" s="3">
        <v>2</v>
      </c>
      <c r="E19" s="3" t="s">
        <v>18</v>
      </c>
      <c r="F19" s="3" t="s">
        <v>105</v>
      </c>
      <c r="G19" s="3"/>
      <c r="H19" s="3" t="s">
        <v>47</v>
      </c>
      <c r="I19" s="3" t="s">
        <v>48</v>
      </c>
      <c r="J19" s="3" t="s">
        <v>49</v>
      </c>
    </row>
    <row r="20" spans="1:10">
      <c r="A20" s="3" t="s">
        <v>106</v>
      </c>
      <c r="B20" s="3" t="s">
        <v>30</v>
      </c>
      <c r="C20" s="3" t="s">
        <v>107</v>
      </c>
      <c r="D20" s="3">
        <v>2</v>
      </c>
      <c r="E20" s="3" t="s">
        <v>18</v>
      </c>
      <c r="F20" s="3" t="s">
        <v>108</v>
      </c>
      <c r="G20" s="3"/>
      <c r="H20" s="3" t="s">
        <v>47</v>
      </c>
      <c r="I20" s="3" t="s">
        <v>48</v>
      </c>
      <c r="J20" s="3" t="s">
        <v>49</v>
      </c>
    </row>
    <row r="21" spans="1:10">
      <c r="A21" s="3" t="s">
        <v>109</v>
      </c>
      <c r="B21" s="3" t="s">
        <v>30</v>
      </c>
      <c r="C21" s="3" t="s">
        <v>110</v>
      </c>
      <c r="D21" s="3">
        <v>2</v>
      </c>
      <c r="E21" s="3" t="s">
        <v>18</v>
      </c>
      <c r="F21" s="3" t="s">
        <v>111</v>
      </c>
      <c r="G21" s="3"/>
      <c r="H21" s="3" t="s">
        <v>47</v>
      </c>
      <c r="I21" s="3" t="s">
        <v>48</v>
      </c>
      <c r="J21" s="3" t="s">
        <v>49</v>
      </c>
    </row>
    <row r="22" spans="1:10">
      <c r="A22" s="3" t="s">
        <v>112</v>
      </c>
      <c r="B22" s="3" t="s">
        <v>30</v>
      </c>
      <c r="C22" s="3" t="s">
        <v>113</v>
      </c>
      <c r="D22" s="3">
        <v>2</v>
      </c>
      <c r="E22" s="3" t="s">
        <v>19</v>
      </c>
      <c r="F22" s="3" t="s">
        <v>114</v>
      </c>
      <c r="G22" s="3"/>
      <c r="H22" s="3" t="s">
        <v>47</v>
      </c>
      <c r="I22" s="3" t="s">
        <v>48</v>
      </c>
      <c r="J22" s="3" t="s">
        <v>49</v>
      </c>
    </row>
    <row r="23" spans="1:10">
      <c r="A23" s="3" t="s">
        <v>115</v>
      </c>
      <c r="B23" s="3" t="s">
        <v>30</v>
      </c>
      <c r="C23" s="3" t="s">
        <v>116</v>
      </c>
      <c r="D23" s="3">
        <v>2</v>
      </c>
      <c r="E23" s="3" t="s">
        <v>18</v>
      </c>
      <c r="F23" s="3" t="s">
        <v>117</v>
      </c>
      <c r="G23" s="3"/>
      <c r="H23" s="3" t="s">
        <v>57</v>
      </c>
      <c r="I23" s="3" t="s">
        <v>48</v>
      </c>
      <c r="J23" s="3" t="s">
        <v>49</v>
      </c>
    </row>
    <row r="24" spans="1:10">
      <c r="A24" s="3" t="s">
        <v>118</v>
      </c>
      <c r="B24" s="3" t="s">
        <v>30</v>
      </c>
      <c r="C24" s="3" t="s">
        <v>119</v>
      </c>
      <c r="D24" s="3">
        <v>2</v>
      </c>
      <c r="E24" s="3" t="s">
        <v>19</v>
      </c>
      <c r="F24" s="3" t="s">
        <v>120</v>
      </c>
      <c r="G24" s="3"/>
      <c r="H24" s="3" t="s">
        <v>76</v>
      </c>
      <c r="I24" s="3" t="s">
        <v>48</v>
      </c>
      <c r="J24" s="3" t="s">
        <v>49</v>
      </c>
    </row>
    <row r="25" spans="1:10">
      <c r="A25" s="3" t="s">
        <v>121</v>
      </c>
      <c r="B25" s="3" t="s">
        <v>30</v>
      </c>
      <c r="C25" s="3" t="s">
        <v>122</v>
      </c>
      <c r="D25" s="3">
        <v>1</v>
      </c>
      <c r="E25" s="3" t="s">
        <v>18</v>
      </c>
      <c r="F25" s="3" t="s">
        <v>123</v>
      </c>
      <c r="G25" s="3" t="s">
        <v>124</v>
      </c>
      <c r="H25" s="3" t="s">
        <v>57</v>
      </c>
      <c r="I25" s="3" t="s">
        <v>48</v>
      </c>
      <c r="J25" s="3" t="s">
        <v>49</v>
      </c>
    </row>
    <row r="26" spans="1:10">
      <c r="A26" s="3" t="s">
        <v>125</v>
      </c>
      <c r="B26" s="3" t="s">
        <v>30</v>
      </c>
      <c r="C26" s="3" t="s">
        <v>126</v>
      </c>
      <c r="D26" s="3">
        <v>2</v>
      </c>
      <c r="E26" s="3" t="s">
        <v>19</v>
      </c>
      <c r="F26" s="3" t="s">
        <v>127</v>
      </c>
      <c r="G26" s="3"/>
      <c r="H26" s="3" t="s">
        <v>76</v>
      </c>
      <c r="I26" s="3" t="s">
        <v>48</v>
      </c>
      <c r="J26" s="3" t="s">
        <v>49</v>
      </c>
    </row>
    <row r="27" spans="1:10">
      <c r="A27" s="3" t="s">
        <v>128</v>
      </c>
      <c r="B27" s="3" t="s">
        <v>30</v>
      </c>
      <c r="C27" s="3" t="s">
        <v>129</v>
      </c>
      <c r="D27" s="3">
        <v>2</v>
      </c>
      <c r="E27" s="3" t="s">
        <v>18</v>
      </c>
      <c r="F27" s="3" t="s">
        <v>130</v>
      </c>
      <c r="G27" s="3"/>
      <c r="H27" s="3" t="s">
        <v>76</v>
      </c>
      <c r="I27" s="3" t="s">
        <v>48</v>
      </c>
      <c r="J27" s="3" t="s">
        <v>49</v>
      </c>
    </row>
    <row r="28" spans="1:10" ht="28.5">
      <c r="A28" s="3" t="s">
        <v>131</v>
      </c>
      <c r="B28" s="3" t="s">
        <v>30</v>
      </c>
      <c r="C28" s="3" t="s">
        <v>132</v>
      </c>
      <c r="D28" s="3">
        <v>1</v>
      </c>
      <c r="E28" s="3" t="s">
        <v>18</v>
      </c>
      <c r="F28" s="3" t="s">
        <v>133</v>
      </c>
      <c r="G28" s="3" t="s">
        <v>134</v>
      </c>
      <c r="H28" s="3" t="s">
        <v>47</v>
      </c>
      <c r="I28" s="3" t="s">
        <v>48</v>
      </c>
      <c r="J28" s="3" t="s">
        <v>49</v>
      </c>
    </row>
    <row r="29" spans="1:10">
      <c r="A29" s="3" t="s">
        <v>135</v>
      </c>
      <c r="B29" s="3" t="s">
        <v>30</v>
      </c>
      <c r="C29" s="3" t="s">
        <v>136</v>
      </c>
      <c r="D29" s="3">
        <v>2</v>
      </c>
      <c r="E29" s="3" t="s">
        <v>18</v>
      </c>
      <c r="F29" s="3" t="s">
        <v>137</v>
      </c>
      <c r="G29" s="3"/>
      <c r="H29" s="3" t="s">
        <v>47</v>
      </c>
      <c r="I29" s="3" t="s">
        <v>48</v>
      </c>
      <c r="J29" s="3" t="s">
        <v>49</v>
      </c>
    </row>
    <row r="30" spans="1:10">
      <c r="A30" s="3" t="s">
        <v>138</v>
      </c>
      <c r="B30" s="3" t="s">
        <v>30</v>
      </c>
      <c r="C30" s="3" t="s">
        <v>139</v>
      </c>
      <c r="D30" s="3">
        <v>2</v>
      </c>
      <c r="E30" s="3" t="s">
        <v>18</v>
      </c>
      <c r="F30" s="3" t="s">
        <v>140</v>
      </c>
      <c r="G30" s="3"/>
      <c r="H30" s="3" t="s">
        <v>47</v>
      </c>
      <c r="I30" s="3" t="s">
        <v>48</v>
      </c>
      <c r="J30" s="3" t="s">
        <v>49</v>
      </c>
    </row>
    <row r="31" spans="1:10">
      <c r="A31" s="3" t="s">
        <v>141</v>
      </c>
      <c r="B31" s="3" t="s">
        <v>30</v>
      </c>
      <c r="C31" s="3" t="s">
        <v>142</v>
      </c>
      <c r="D31" s="3">
        <v>2</v>
      </c>
      <c r="E31" s="3" t="s">
        <v>18</v>
      </c>
      <c r="F31" s="3" t="s">
        <v>143</v>
      </c>
      <c r="G31" s="3"/>
      <c r="H31" s="3" t="s">
        <v>57</v>
      </c>
      <c r="I31" s="3" t="s">
        <v>48</v>
      </c>
      <c r="J31" s="3" t="s">
        <v>49</v>
      </c>
    </row>
    <row r="32" spans="1:10">
      <c r="A32" s="3" t="s">
        <v>144</v>
      </c>
      <c r="B32" s="3" t="s">
        <v>30</v>
      </c>
      <c r="C32" s="3" t="s">
        <v>145</v>
      </c>
      <c r="D32" s="3">
        <v>2</v>
      </c>
      <c r="E32" s="3" t="s">
        <v>18</v>
      </c>
      <c r="F32" s="3" t="s">
        <v>146</v>
      </c>
      <c r="G32" s="3"/>
      <c r="H32" s="3" t="s">
        <v>47</v>
      </c>
      <c r="I32" s="3" t="s">
        <v>48</v>
      </c>
      <c r="J32" s="3" t="s">
        <v>49</v>
      </c>
    </row>
    <row r="33" spans="1:10">
      <c r="A33" s="3" t="s">
        <v>147</v>
      </c>
      <c r="B33" s="3" t="s">
        <v>30</v>
      </c>
      <c r="C33" s="3" t="s">
        <v>148</v>
      </c>
      <c r="D33" s="3">
        <v>1</v>
      </c>
      <c r="E33" s="3" t="s">
        <v>18</v>
      </c>
      <c r="F33" s="3" t="s">
        <v>149</v>
      </c>
      <c r="G33" s="3" t="s">
        <v>150</v>
      </c>
      <c r="H33" s="3" t="s">
        <v>47</v>
      </c>
      <c r="I33" s="3" t="s">
        <v>48</v>
      </c>
      <c r="J33" s="3" t="s">
        <v>49</v>
      </c>
    </row>
    <row r="34" spans="1:10">
      <c r="A34" s="3" t="s">
        <v>151</v>
      </c>
      <c r="B34" s="3" t="s">
        <v>30</v>
      </c>
      <c r="C34" s="3" t="s">
        <v>152</v>
      </c>
      <c r="D34" s="3">
        <v>2</v>
      </c>
      <c r="E34" s="3" t="s">
        <v>18</v>
      </c>
      <c r="F34" s="3" t="s">
        <v>153</v>
      </c>
      <c r="G34" s="3"/>
      <c r="H34" s="3" t="s">
        <v>47</v>
      </c>
      <c r="I34" s="3" t="s">
        <v>48</v>
      </c>
      <c r="J34" s="3" t="s">
        <v>49</v>
      </c>
    </row>
    <row r="35" spans="1:10">
      <c r="A35" s="3" t="s">
        <v>154</v>
      </c>
      <c r="B35" s="3" t="s">
        <v>30</v>
      </c>
      <c r="C35" s="3" t="s">
        <v>155</v>
      </c>
      <c r="D35" s="3">
        <v>2</v>
      </c>
      <c r="E35" s="3" t="s">
        <v>18</v>
      </c>
      <c r="F35" s="3" t="s">
        <v>156</v>
      </c>
      <c r="G35" s="3"/>
      <c r="H35" s="3" t="s">
        <v>57</v>
      </c>
      <c r="I35" s="3" t="s">
        <v>48</v>
      </c>
      <c r="J35" s="3" t="s">
        <v>49</v>
      </c>
    </row>
    <row r="36" spans="1:10">
      <c r="A36" s="3" t="s">
        <v>157</v>
      </c>
      <c r="B36" s="3" t="s">
        <v>30</v>
      </c>
      <c r="C36" s="3" t="s">
        <v>158</v>
      </c>
      <c r="D36" s="3">
        <v>2</v>
      </c>
      <c r="E36" s="3" t="s">
        <v>18</v>
      </c>
      <c r="F36" s="3" t="s">
        <v>159</v>
      </c>
      <c r="G36" s="3"/>
      <c r="H36" s="3" t="s">
        <v>57</v>
      </c>
      <c r="I36" s="3" t="s">
        <v>48</v>
      </c>
      <c r="J36" s="3" t="s">
        <v>49</v>
      </c>
    </row>
    <row r="37" spans="1:10">
      <c r="A37" s="3" t="s">
        <v>160</v>
      </c>
      <c r="B37" s="3" t="s">
        <v>30</v>
      </c>
      <c r="C37" s="3" t="s">
        <v>161</v>
      </c>
      <c r="D37" s="3">
        <v>2</v>
      </c>
      <c r="E37" s="3" t="s">
        <v>23</v>
      </c>
      <c r="F37" s="3" t="s">
        <v>162</v>
      </c>
      <c r="G37" s="3"/>
      <c r="H37" s="3" t="s">
        <v>57</v>
      </c>
      <c r="I37" s="3" t="s">
        <v>48</v>
      </c>
      <c r="J37" s="3" t="s">
        <v>49</v>
      </c>
    </row>
    <row r="38" spans="1:10">
      <c r="A38" s="3" t="s">
        <v>163</v>
      </c>
      <c r="B38" s="3" t="s">
        <v>30</v>
      </c>
      <c r="C38" s="3" t="s">
        <v>164</v>
      </c>
      <c r="D38" s="3">
        <v>2</v>
      </c>
      <c r="E38" s="3" t="s">
        <v>23</v>
      </c>
      <c r="F38" s="3" t="s">
        <v>165</v>
      </c>
      <c r="G38" s="3"/>
      <c r="H38" s="3" t="s">
        <v>76</v>
      </c>
      <c r="I38" s="3" t="s">
        <v>48</v>
      </c>
      <c r="J38" s="3" t="s">
        <v>49</v>
      </c>
    </row>
    <row r="39" spans="1:10">
      <c r="A39" s="3" t="s">
        <v>166</v>
      </c>
      <c r="B39" s="3" t="s">
        <v>30</v>
      </c>
      <c r="C39" s="3" t="s">
        <v>167</v>
      </c>
      <c r="D39" s="3">
        <v>1</v>
      </c>
      <c r="E39" s="3" t="s">
        <v>23</v>
      </c>
      <c r="F39" s="3" t="s">
        <v>168</v>
      </c>
      <c r="G39" s="3" t="s">
        <v>169</v>
      </c>
      <c r="H39" s="3" t="s">
        <v>47</v>
      </c>
      <c r="I39" s="3" t="s">
        <v>48</v>
      </c>
      <c r="J39" s="3" t="s">
        <v>49</v>
      </c>
    </row>
    <row r="40" spans="1:10">
      <c r="A40" s="3" t="s">
        <v>170</v>
      </c>
      <c r="B40" s="3" t="s">
        <v>30</v>
      </c>
      <c r="C40" s="3" t="s">
        <v>171</v>
      </c>
      <c r="D40" s="3">
        <v>2</v>
      </c>
      <c r="E40" s="3" t="s">
        <v>18</v>
      </c>
      <c r="F40" s="3" t="s">
        <v>172</v>
      </c>
      <c r="G40" s="3"/>
      <c r="H40" s="3" t="s">
        <v>57</v>
      </c>
      <c r="I40" s="3" t="s">
        <v>48</v>
      </c>
      <c r="J40" s="3" t="s">
        <v>49</v>
      </c>
    </row>
    <row r="41" spans="1:10">
      <c r="A41" s="3" t="s">
        <v>173</v>
      </c>
      <c r="B41" s="3" t="s">
        <v>30</v>
      </c>
      <c r="C41" s="3" t="s">
        <v>174</v>
      </c>
      <c r="D41" s="3">
        <v>2</v>
      </c>
      <c r="E41" s="3" t="s">
        <v>18</v>
      </c>
      <c r="F41" s="3" t="s">
        <v>175</v>
      </c>
      <c r="G41" s="3"/>
      <c r="H41" s="3" t="s">
        <v>57</v>
      </c>
      <c r="I41" s="3" t="s">
        <v>48</v>
      </c>
      <c r="J41" s="3" t="s">
        <v>49</v>
      </c>
    </row>
    <row r="42" spans="1:10" ht="28.5">
      <c r="A42" s="3" t="s">
        <v>176</v>
      </c>
      <c r="B42" s="3" t="s">
        <v>30</v>
      </c>
      <c r="C42" s="3" t="s">
        <v>177</v>
      </c>
      <c r="D42" s="3">
        <v>2</v>
      </c>
      <c r="E42" s="3" t="s">
        <v>18</v>
      </c>
      <c r="F42" s="3" t="s">
        <v>178</v>
      </c>
      <c r="G42" s="3"/>
      <c r="H42" s="3" t="s">
        <v>47</v>
      </c>
      <c r="I42" s="3" t="s">
        <v>48</v>
      </c>
      <c r="J42" s="3" t="s">
        <v>49</v>
      </c>
    </row>
    <row r="43" spans="1:10">
      <c r="A43" s="3" t="s">
        <v>179</v>
      </c>
      <c r="B43" s="3" t="s">
        <v>30</v>
      </c>
      <c r="C43" s="3" t="s">
        <v>180</v>
      </c>
      <c r="D43" s="3">
        <v>2</v>
      </c>
      <c r="E43" s="3" t="s">
        <v>23</v>
      </c>
      <c r="F43" s="3" t="s">
        <v>181</v>
      </c>
      <c r="G43" s="3"/>
      <c r="H43" s="3" t="s">
        <v>47</v>
      </c>
      <c r="I43" s="3" t="s">
        <v>48</v>
      </c>
      <c r="J43" s="3" t="s">
        <v>49</v>
      </c>
    </row>
    <row r="44" spans="1:10">
      <c r="A44" s="3" t="s">
        <v>182</v>
      </c>
      <c r="B44" s="3" t="s">
        <v>30</v>
      </c>
      <c r="C44" s="3" t="s">
        <v>183</v>
      </c>
      <c r="D44" s="3">
        <v>1</v>
      </c>
      <c r="E44" s="3" t="s">
        <v>21</v>
      </c>
      <c r="F44" s="3" t="s">
        <v>184</v>
      </c>
      <c r="G44" s="3" t="s">
        <v>185</v>
      </c>
      <c r="H44" s="3" t="s">
        <v>57</v>
      </c>
      <c r="I44" s="3" t="s">
        <v>48</v>
      </c>
      <c r="J44" s="3" t="s">
        <v>49</v>
      </c>
    </row>
    <row r="45" spans="1:10">
      <c r="A45" s="3" t="s">
        <v>186</v>
      </c>
      <c r="B45" s="3" t="s">
        <v>30</v>
      </c>
      <c r="C45" s="3" t="s">
        <v>187</v>
      </c>
      <c r="D45" s="3">
        <v>2</v>
      </c>
      <c r="E45" s="3" t="s">
        <v>18</v>
      </c>
      <c r="F45" s="3" t="s">
        <v>188</v>
      </c>
      <c r="G45" s="3"/>
      <c r="H45" s="3" t="s">
        <v>57</v>
      </c>
      <c r="I45" s="3" t="s">
        <v>48</v>
      </c>
      <c r="J45" s="3" t="s">
        <v>49</v>
      </c>
    </row>
    <row r="46" spans="1:10">
      <c r="A46" s="3" t="s">
        <v>189</v>
      </c>
      <c r="B46" s="3" t="s">
        <v>30</v>
      </c>
      <c r="C46" s="3" t="s">
        <v>190</v>
      </c>
      <c r="D46" s="3">
        <v>2</v>
      </c>
      <c r="E46" s="3" t="s">
        <v>19</v>
      </c>
      <c r="F46" s="3" t="s">
        <v>191</v>
      </c>
      <c r="G46" s="3"/>
      <c r="H46" s="3" t="s">
        <v>57</v>
      </c>
      <c r="I46" s="3" t="s">
        <v>48</v>
      </c>
      <c r="J46" s="3" t="s">
        <v>49</v>
      </c>
    </row>
    <row r="47" spans="1:10">
      <c r="A47" s="3" t="s">
        <v>192</v>
      </c>
      <c r="B47" s="3" t="s">
        <v>30</v>
      </c>
      <c r="C47" s="3" t="s">
        <v>193</v>
      </c>
      <c r="D47" s="3">
        <v>2</v>
      </c>
      <c r="E47" s="3" t="s">
        <v>18</v>
      </c>
      <c r="F47" s="3" t="s">
        <v>194</v>
      </c>
      <c r="G47" s="3"/>
      <c r="H47" s="3" t="s">
        <v>47</v>
      </c>
      <c r="I47" s="3" t="s">
        <v>48</v>
      </c>
      <c r="J47" s="3" t="s">
        <v>49</v>
      </c>
    </row>
    <row r="48" spans="1:10">
      <c r="A48" s="3" t="s">
        <v>195</v>
      </c>
      <c r="B48" s="3" t="s">
        <v>30</v>
      </c>
      <c r="C48" s="3" t="s">
        <v>196</v>
      </c>
      <c r="D48" s="3">
        <v>2</v>
      </c>
      <c r="E48" s="3" t="s">
        <v>18</v>
      </c>
      <c r="F48" s="3" t="s">
        <v>197</v>
      </c>
      <c r="G48" s="3"/>
      <c r="H48" s="3" t="s">
        <v>47</v>
      </c>
      <c r="I48" s="3" t="s">
        <v>48</v>
      </c>
      <c r="J48" s="3" t="s">
        <v>49</v>
      </c>
    </row>
    <row r="49" spans="1:10">
      <c r="A49" s="3" t="s">
        <v>198</v>
      </c>
      <c r="B49" s="3" t="s">
        <v>30</v>
      </c>
      <c r="C49" s="3" t="s">
        <v>199</v>
      </c>
      <c r="D49" s="3">
        <v>2</v>
      </c>
      <c r="E49" s="3" t="s">
        <v>18</v>
      </c>
      <c r="F49" s="3" t="s">
        <v>200</v>
      </c>
      <c r="G49" s="3"/>
      <c r="H49" s="3" t="s">
        <v>47</v>
      </c>
      <c r="I49" s="3" t="s">
        <v>48</v>
      </c>
      <c r="J49" s="3" t="s">
        <v>49</v>
      </c>
    </row>
    <row r="50" spans="1:10" ht="30">
      <c r="A50" s="2" t="s">
        <v>201</v>
      </c>
      <c r="B50" s="2" t="s">
        <v>31</v>
      </c>
      <c r="C50" s="2" t="s">
        <v>202</v>
      </c>
      <c r="D50" s="2">
        <v>0</v>
      </c>
      <c r="E50" s="2" t="s">
        <v>18</v>
      </c>
      <c r="F50" s="2" t="s">
        <v>203</v>
      </c>
      <c r="G50" s="2" t="s">
        <v>204</v>
      </c>
      <c r="H50" s="2" t="s">
        <v>47</v>
      </c>
      <c r="I50" s="2" t="s">
        <v>48</v>
      </c>
      <c r="J50" s="2" t="s">
        <v>205</v>
      </c>
    </row>
    <row r="51" spans="1:10">
      <c r="A51" s="3" t="s">
        <v>206</v>
      </c>
      <c r="B51" s="3" t="s">
        <v>31</v>
      </c>
      <c r="C51" s="3" t="s">
        <v>207</v>
      </c>
      <c r="D51" s="3">
        <v>1</v>
      </c>
      <c r="E51" s="3" t="s">
        <v>18</v>
      </c>
      <c r="F51" s="3" t="s">
        <v>208</v>
      </c>
      <c r="G51" s="3" t="s">
        <v>209</v>
      </c>
      <c r="H51" s="3" t="s">
        <v>47</v>
      </c>
      <c r="I51" s="3" t="s">
        <v>48</v>
      </c>
      <c r="J51" s="3" t="s">
        <v>205</v>
      </c>
    </row>
    <row r="52" spans="1:10">
      <c r="A52" s="3" t="s">
        <v>210</v>
      </c>
      <c r="B52" s="3" t="s">
        <v>31</v>
      </c>
      <c r="C52" s="3" t="s">
        <v>211</v>
      </c>
      <c r="D52" s="3">
        <v>2</v>
      </c>
      <c r="E52" s="3" t="s">
        <v>18</v>
      </c>
      <c r="F52" s="3" t="s">
        <v>212</v>
      </c>
      <c r="G52" s="3"/>
      <c r="H52" s="3" t="s">
        <v>47</v>
      </c>
      <c r="I52" s="3" t="s">
        <v>48</v>
      </c>
      <c r="J52" s="3" t="s">
        <v>205</v>
      </c>
    </row>
    <row r="53" spans="1:10">
      <c r="A53" s="3" t="s">
        <v>213</v>
      </c>
      <c r="B53" s="3" t="s">
        <v>31</v>
      </c>
      <c r="C53" s="3" t="s">
        <v>214</v>
      </c>
      <c r="D53" s="3">
        <v>2</v>
      </c>
      <c r="E53" s="3" t="s">
        <v>18</v>
      </c>
      <c r="F53" s="3" t="s">
        <v>215</v>
      </c>
      <c r="G53" s="3"/>
      <c r="H53" s="3" t="s">
        <v>47</v>
      </c>
      <c r="I53" s="3" t="s">
        <v>48</v>
      </c>
      <c r="J53" s="3" t="s">
        <v>205</v>
      </c>
    </row>
    <row r="54" spans="1:10">
      <c r="A54" s="3" t="s">
        <v>216</v>
      </c>
      <c r="B54" s="3" t="s">
        <v>31</v>
      </c>
      <c r="C54" s="3" t="s">
        <v>217</v>
      </c>
      <c r="D54" s="3">
        <v>2</v>
      </c>
      <c r="E54" s="3" t="s">
        <v>18</v>
      </c>
      <c r="F54" s="3" t="s">
        <v>218</v>
      </c>
      <c r="G54" s="3"/>
      <c r="H54" s="3" t="s">
        <v>47</v>
      </c>
      <c r="I54" s="3" t="s">
        <v>48</v>
      </c>
      <c r="J54" s="3" t="s">
        <v>205</v>
      </c>
    </row>
    <row r="55" spans="1:10">
      <c r="A55" s="3" t="s">
        <v>219</v>
      </c>
      <c r="B55" s="3" t="s">
        <v>31</v>
      </c>
      <c r="C55" s="3" t="s">
        <v>220</v>
      </c>
      <c r="D55" s="3">
        <v>2</v>
      </c>
      <c r="E55" s="3" t="s">
        <v>18</v>
      </c>
      <c r="F55" s="3" t="s">
        <v>221</v>
      </c>
      <c r="G55" s="3"/>
      <c r="H55" s="3" t="s">
        <v>57</v>
      </c>
      <c r="I55" s="3" t="s">
        <v>48</v>
      </c>
      <c r="J55" s="3" t="s">
        <v>205</v>
      </c>
    </row>
    <row r="56" spans="1:10" ht="28.5">
      <c r="A56" s="3" t="s">
        <v>222</v>
      </c>
      <c r="B56" s="3" t="s">
        <v>31</v>
      </c>
      <c r="C56" s="3" t="s">
        <v>223</v>
      </c>
      <c r="D56" s="3">
        <v>2</v>
      </c>
      <c r="E56" s="3" t="s">
        <v>18</v>
      </c>
      <c r="F56" s="3" t="s">
        <v>224</v>
      </c>
      <c r="G56" s="3"/>
      <c r="H56" s="3" t="s">
        <v>57</v>
      </c>
      <c r="I56" s="3" t="s">
        <v>48</v>
      </c>
      <c r="J56" s="3" t="s">
        <v>205</v>
      </c>
    </row>
    <row r="57" spans="1:10">
      <c r="A57" s="3" t="s">
        <v>225</v>
      </c>
      <c r="B57" s="3" t="s">
        <v>31</v>
      </c>
      <c r="C57" s="3" t="s">
        <v>226</v>
      </c>
      <c r="D57" s="3">
        <v>1</v>
      </c>
      <c r="E57" s="3" t="s">
        <v>18</v>
      </c>
      <c r="F57" s="3" t="s">
        <v>227</v>
      </c>
      <c r="G57" s="3" t="s">
        <v>228</v>
      </c>
      <c r="H57" s="3" t="s">
        <v>47</v>
      </c>
      <c r="I57" s="3" t="s">
        <v>48</v>
      </c>
      <c r="J57" s="3" t="s">
        <v>205</v>
      </c>
    </row>
    <row r="58" spans="1:10">
      <c r="A58" s="3" t="s">
        <v>229</v>
      </c>
      <c r="B58" s="3" t="s">
        <v>31</v>
      </c>
      <c r="C58" s="3" t="s">
        <v>230</v>
      </c>
      <c r="D58" s="3">
        <v>2</v>
      </c>
      <c r="E58" s="3" t="s">
        <v>18</v>
      </c>
      <c r="F58" s="3" t="s">
        <v>231</v>
      </c>
      <c r="G58" s="3"/>
      <c r="H58" s="3" t="s">
        <v>57</v>
      </c>
      <c r="I58" s="3" t="s">
        <v>48</v>
      </c>
      <c r="J58" s="3" t="s">
        <v>205</v>
      </c>
    </row>
    <row r="59" spans="1:10">
      <c r="A59" s="3" t="s">
        <v>232</v>
      </c>
      <c r="B59" s="3" t="s">
        <v>31</v>
      </c>
      <c r="C59" s="3" t="s">
        <v>233</v>
      </c>
      <c r="D59" s="3">
        <v>2</v>
      </c>
      <c r="E59" s="3" t="s">
        <v>18</v>
      </c>
      <c r="F59" s="3" t="s">
        <v>234</v>
      </c>
      <c r="G59" s="3"/>
      <c r="H59" s="3" t="s">
        <v>57</v>
      </c>
      <c r="I59" s="3" t="s">
        <v>48</v>
      </c>
      <c r="J59" s="3" t="s">
        <v>205</v>
      </c>
    </row>
    <row r="60" spans="1:10" ht="28.5">
      <c r="A60" s="3" t="s">
        <v>235</v>
      </c>
      <c r="B60" s="3" t="s">
        <v>31</v>
      </c>
      <c r="C60" s="3" t="s">
        <v>236</v>
      </c>
      <c r="D60" s="3">
        <v>2</v>
      </c>
      <c r="E60" s="3" t="s">
        <v>18</v>
      </c>
      <c r="F60" s="3" t="s">
        <v>237</v>
      </c>
      <c r="G60" s="3"/>
      <c r="H60" s="3" t="s">
        <v>47</v>
      </c>
      <c r="I60" s="3" t="s">
        <v>48</v>
      </c>
      <c r="J60" s="3" t="s">
        <v>205</v>
      </c>
    </row>
    <row r="61" spans="1:10">
      <c r="A61" s="3" t="s">
        <v>238</v>
      </c>
      <c r="B61" s="3" t="s">
        <v>31</v>
      </c>
      <c r="C61" s="3" t="s">
        <v>239</v>
      </c>
      <c r="D61" s="3">
        <v>2</v>
      </c>
      <c r="E61" s="3" t="s">
        <v>18</v>
      </c>
      <c r="F61" s="3" t="s">
        <v>240</v>
      </c>
      <c r="G61" s="3"/>
      <c r="H61" s="3" t="s">
        <v>76</v>
      </c>
      <c r="I61" s="3" t="s">
        <v>48</v>
      </c>
      <c r="J61" s="3" t="s">
        <v>205</v>
      </c>
    </row>
    <row r="62" spans="1:10">
      <c r="A62" s="3" t="s">
        <v>241</v>
      </c>
      <c r="B62" s="3" t="s">
        <v>31</v>
      </c>
      <c r="C62" s="3" t="s">
        <v>242</v>
      </c>
      <c r="D62" s="3">
        <v>1</v>
      </c>
      <c r="E62" s="3" t="s">
        <v>18</v>
      </c>
      <c r="F62" s="3" t="s">
        <v>243</v>
      </c>
      <c r="G62" s="3" t="s">
        <v>244</v>
      </c>
      <c r="H62" s="3" t="s">
        <v>47</v>
      </c>
      <c r="I62" s="3" t="s">
        <v>48</v>
      </c>
      <c r="J62" s="3" t="s">
        <v>205</v>
      </c>
    </row>
    <row r="63" spans="1:10">
      <c r="A63" s="3" t="s">
        <v>245</v>
      </c>
      <c r="B63" s="3" t="s">
        <v>31</v>
      </c>
      <c r="C63" s="3" t="s">
        <v>246</v>
      </c>
      <c r="D63" s="3">
        <v>2</v>
      </c>
      <c r="E63" s="3" t="s">
        <v>18</v>
      </c>
      <c r="F63" s="3" t="s">
        <v>247</v>
      </c>
      <c r="G63" s="3"/>
      <c r="H63" s="3" t="s">
        <v>47</v>
      </c>
      <c r="I63" s="3" t="s">
        <v>48</v>
      </c>
      <c r="J63" s="3" t="s">
        <v>205</v>
      </c>
    </row>
    <row r="64" spans="1:10">
      <c r="A64" s="3" t="s">
        <v>248</v>
      </c>
      <c r="B64" s="3" t="s">
        <v>31</v>
      </c>
      <c r="C64" s="3" t="s">
        <v>249</v>
      </c>
      <c r="D64" s="3">
        <v>2</v>
      </c>
      <c r="E64" s="3" t="s">
        <v>18</v>
      </c>
      <c r="F64" s="13" t="s">
        <v>675</v>
      </c>
      <c r="G64" s="3"/>
      <c r="H64" s="3" t="s">
        <v>57</v>
      </c>
      <c r="I64" s="3" t="s">
        <v>48</v>
      </c>
      <c r="J64" s="3" t="s">
        <v>205</v>
      </c>
    </row>
    <row r="65" spans="1:10">
      <c r="A65" s="3" t="s">
        <v>250</v>
      </c>
      <c r="B65" s="3" t="s">
        <v>31</v>
      </c>
      <c r="C65" s="3" t="s">
        <v>251</v>
      </c>
      <c r="D65" s="3">
        <v>2</v>
      </c>
      <c r="E65" s="3" t="s">
        <v>18</v>
      </c>
      <c r="F65" s="3" t="s">
        <v>676</v>
      </c>
      <c r="G65" s="3"/>
      <c r="H65" s="3" t="s">
        <v>57</v>
      </c>
      <c r="I65" s="3" t="s">
        <v>48</v>
      </c>
      <c r="J65" s="3" t="s">
        <v>205</v>
      </c>
    </row>
    <row r="66" spans="1:10" ht="28.5">
      <c r="A66" s="3" t="s">
        <v>252</v>
      </c>
      <c r="B66" s="3" t="s">
        <v>31</v>
      </c>
      <c r="C66" s="3" t="s">
        <v>253</v>
      </c>
      <c r="D66" s="3">
        <v>2</v>
      </c>
      <c r="E66" s="3" t="s">
        <v>22</v>
      </c>
      <c r="F66" s="3" t="s">
        <v>254</v>
      </c>
      <c r="G66" s="3"/>
      <c r="H66" s="3" t="s">
        <v>47</v>
      </c>
      <c r="I66" s="3" t="s">
        <v>48</v>
      </c>
      <c r="J66" s="3" t="s">
        <v>205</v>
      </c>
    </row>
    <row r="67" spans="1:10" ht="28.5">
      <c r="A67" s="3" t="s">
        <v>255</v>
      </c>
      <c r="B67" s="3" t="s">
        <v>31</v>
      </c>
      <c r="C67" s="3" t="s">
        <v>256</v>
      </c>
      <c r="D67" s="3">
        <v>2</v>
      </c>
      <c r="E67" s="3" t="s">
        <v>22</v>
      </c>
      <c r="F67" s="3" t="s">
        <v>257</v>
      </c>
      <c r="G67" s="3"/>
      <c r="H67" s="3" t="s">
        <v>57</v>
      </c>
      <c r="I67" s="3" t="s">
        <v>48</v>
      </c>
      <c r="J67" s="3" t="s">
        <v>205</v>
      </c>
    </row>
    <row r="68" spans="1:10">
      <c r="A68" s="3" t="s">
        <v>258</v>
      </c>
      <c r="B68" s="3" t="s">
        <v>31</v>
      </c>
      <c r="C68" s="3" t="s">
        <v>259</v>
      </c>
      <c r="D68" s="3">
        <v>1</v>
      </c>
      <c r="E68" s="3" t="s">
        <v>22</v>
      </c>
      <c r="F68" s="3" t="s">
        <v>260</v>
      </c>
      <c r="G68" s="3" t="s">
        <v>261</v>
      </c>
      <c r="H68" s="3" t="s">
        <v>47</v>
      </c>
      <c r="I68" s="3" t="s">
        <v>48</v>
      </c>
      <c r="J68" s="3" t="s">
        <v>205</v>
      </c>
    </row>
    <row r="69" spans="1:10">
      <c r="A69" s="3" t="s">
        <v>262</v>
      </c>
      <c r="B69" s="3" t="s">
        <v>31</v>
      </c>
      <c r="C69" s="3" t="s">
        <v>263</v>
      </c>
      <c r="D69" s="3">
        <v>2</v>
      </c>
      <c r="E69" s="3" t="s">
        <v>22</v>
      </c>
      <c r="F69" s="3" t="s">
        <v>264</v>
      </c>
      <c r="G69" s="3"/>
      <c r="H69" s="3" t="s">
        <v>47</v>
      </c>
      <c r="I69" s="3" t="s">
        <v>48</v>
      </c>
      <c r="J69" s="3" t="s">
        <v>205</v>
      </c>
    </row>
    <row r="70" spans="1:10">
      <c r="A70" s="3" t="s">
        <v>265</v>
      </c>
      <c r="B70" s="3" t="s">
        <v>31</v>
      </c>
      <c r="C70" s="3" t="s">
        <v>266</v>
      </c>
      <c r="D70" s="3">
        <v>2</v>
      </c>
      <c r="E70" s="3" t="s">
        <v>22</v>
      </c>
      <c r="F70" s="3" t="s">
        <v>267</v>
      </c>
      <c r="G70" s="3"/>
      <c r="H70" s="3" t="s">
        <v>47</v>
      </c>
      <c r="I70" s="3" t="s">
        <v>48</v>
      </c>
      <c r="J70" s="3" t="s">
        <v>205</v>
      </c>
    </row>
    <row r="71" spans="1:10">
      <c r="A71" s="3" t="s">
        <v>268</v>
      </c>
      <c r="B71" s="3" t="s">
        <v>31</v>
      </c>
      <c r="C71" s="3" t="s">
        <v>269</v>
      </c>
      <c r="D71" s="3">
        <v>2</v>
      </c>
      <c r="E71" s="3" t="s">
        <v>22</v>
      </c>
      <c r="F71" s="3" t="s">
        <v>270</v>
      </c>
      <c r="G71" s="3"/>
      <c r="H71" s="3" t="s">
        <v>47</v>
      </c>
      <c r="I71" s="3" t="s">
        <v>48</v>
      </c>
      <c r="J71" s="3" t="s">
        <v>205</v>
      </c>
    </row>
    <row r="72" spans="1:10" ht="28.5">
      <c r="A72" s="3" t="s">
        <v>271</v>
      </c>
      <c r="B72" s="3" t="s">
        <v>31</v>
      </c>
      <c r="C72" s="3" t="s">
        <v>272</v>
      </c>
      <c r="D72" s="3">
        <v>2</v>
      </c>
      <c r="E72" s="3" t="s">
        <v>22</v>
      </c>
      <c r="F72" s="3" t="s">
        <v>273</v>
      </c>
      <c r="G72" s="3"/>
      <c r="H72" s="3" t="s">
        <v>57</v>
      </c>
      <c r="I72" s="3" t="s">
        <v>48</v>
      </c>
      <c r="J72" s="3" t="s">
        <v>205</v>
      </c>
    </row>
    <row r="73" spans="1:10">
      <c r="A73" s="3" t="s">
        <v>274</v>
      </c>
      <c r="B73" s="3" t="s">
        <v>31</v>
      </c>
      <c r="C73" s="3" t="s">
        <v>275</v>
      </c>
      <c r="D73" s="3">
        <v>1</v>
      </c>
      <c r="E73" s="3" t="s">
        <v>22</v>
      </c>
      <c r="F73" s="3" t="s">
        <v>276</v>
      </c>
      <c r="G73" s="3" t="s">
        <v>277</v>
      </c>
      <c r="H73" s="3" t="s">
        <v>47</v>
      </c>
      <c r="I73" s="3" t="s">
        <v>48</v>
      </c>
      <c r="J73" s="3" t="s">
        <v>205</v>
      </c>
    </row>
    <row r="74" spans="1:10">
      <c r="A74" s="3" t="s">
        <v>278</v>
      </c>
      <c r="B74" s="3" t="s">
        <v>31</v>
      </c>
      <c r="C74" s="3" t="s">
        <v>279</v>
      </c>
      <c r="D74" s="3">
        <v>2</v>
      </c>
      <c r="E74" s="3" t="s">
        <v>22</v>
      </c>
      <c r="F74" s="3" t="s">
        <v>280</v>
      </c>
      <c r="G74" s="3"/>
      <c r="H74" s="3" t="s">
        <v>47</v>
      </c>
      <c r="I74" s="3" t="s">
        <v>48</v>
      </c>
      <c r="J74" s="3" t="s">
        <v>205</v>
      </c>
    </row>
    <row r="75" spans="1:10">
      <c r="A75" s="3" t="s">
        <v>281</v>
      </c>
      <c r="B75" s="3" t="s">
        <v>31</v>
      </c>
      <c r="C75" s="3" t="s">
        <v>282</v>
      </c>
      <c r="D75" s="3">
        <v>2</v>
      </c>
      <c r="E75" s="3" t="s">
        <v>22</v>
      </c>
      <c r="F75" s="3" t="s">
        <v>283</v>
      </c>
      <c r="G75" s="3"/>
      <c r="H75" s="3" t="s">
        <v>57</v>
      </c>
      <c r="I75" s="3" t="s">
        <v>48</v>
      </c>
      <c r="J75" s="3" t="s">
        <v>205</v>
      </c>
    </row>
    <row r="76" spans="1:10">
      <c r="A76" s="3" t="s">
        <v>284</v>
      </c>
      <c r="B76" s="3" t="s">
        <v>31</v>
      </c>
      <c r="C76" s="3" t="s">
        <v>285</v>
      </c>
      <c r="D76" s="3">
        <v>2</v>
      </c>
      <c r="E76" s="3" t="s">
        <v>22</v>
      </c>
      <c r="F76" s="3" t="s">
        <v>286</v>
      </c>
      <c r="G76" s="3"/>
      <c r="H76" s="3" t="s">
        <v>47</v>
      </c>
      <c r="I76" s="3" t="s">
        <v>48</v>
      </c>
      <c r="J76" s="3" t="s">
        <v>205</v>
      </c>
    </row>
    <row r="77" spans="1:10">
      <c r="A77" s="3" t="s">
        <v>287</v>
      </c>
      <c r="B77" s="3" t="s">
        <v>31</v>
      </c>
      <c r="C77" s="3" t="s">
        <v>288</v>
      </c>
      <c r="D77" s="3">
        <v>2</v>
      </c>
      <c r="E77" s="3" t="s">
        <v>22</v>
      </c>
      <c r="F77" s="3" t="s">
        <v>289</v>
      </c>
      <c r="G77" s="3"/>
      <c r="H77" s="3" t="s">
        <v>57</v>
      </c>
      <c r="I77" s="3" t="s">
        <v>48</v>
      </c>
      <c r="J77" s="3" t="s">
        <v>205</v>
      </c>
    </row>
    <row r="78" spans="1:10" ht="28.5">
      <c r="A78" s="3" t="s">
        <v>290</v>
      </c>
      <c r="B78" s="3" t="s">
        <v>31</v>
      </c>
      <c r="C78" s="3" t="s">
        <v>291</v>
      </c>
      <c r="D78" s="3">
        <v>2</v>
      </c>
      <c r="E78" s="3" t="s">
        <v>22</v>
      </c>
      <c r="F78" s="3" t="s">
        <v>292</v>
      </c>
      <c r="G78" s="3"/>
      <c r="H78" s="3" t="s">
        <v>57</v>
      </c>
      <c r="I78" s="3" t="s">
        <v>48</v>
      </c>
      <c r="J78" s="3" t="s">
        <v>205</v>
      </c>
    </row>
    <row r="79" spans="1:10">
      <c r="A79" s="3" t="s">
        <v>293</v>
      </c>
      <c r="B79" s="3" t="s">
        <v>31</v>
      </c>
      <c r="C79" s="3" t="s">
        <v>294</v>
      </c>
      <c r="D79" s="3">
        <v>1</v>
      </c>
      <c r="E79" s="3" t="s">
        <v>22</v>
      </c>
      <c r="F79" s="3" t="s">
        <v>295</v>
      </c>
      <c r="G79" s="3" t="s">
        <v>296</v>
      </c>
      <c r="H79" s="3" t="s">
        <v>47</v>
      </c>
      <c r="I79" s="3" t="s">
        <v>48</v>
      </c>
      <c r="J79" s="3" t="s">
        <v>205</v>
      </c>
    </row>
    <row r="80" spans="1:10">
      <c r="A80" s="3" t="s">
        <v>297</v>
      </c>
      <c r="B80" s="3" t="s">
        <v>31</v>
      </c>
      <c r="C80" s="3" t="s">
        <v>298</v>
      </c>
      <c r="D80" s="3">
        <v>2</v>
      </c>
      <c r="E80" s="3" t="s">
        <v>22</v>
      </c>
      <c r="F80" s="3" t="s">
        <v>299</v>
      </c>
      <c r="G80" s="3"/>
      <c r="H80" s="3" t="s">
        <v>47</v>
      </c>
      <c r="I80" s="3" t="s">
        <v>48</v>
      </c>
      <c r="J80" s="3" t="s">
        <v>205</v>
      </c>
    </row>
    <row r="81" spans="1:10">
      <c r="A81" s="3" t="s">
        <v>300</v>
      </c>
      <c r="B81" s="3" t="s">
        <v>31</v>
      </c>
      <c r="C81" s="3" t="s">
        <v>301</v>
      </c>
      <c r="D81" s="3">
        <v>2</v>
      </c>
      <c r="E81" s="3" t="s">
        <v>22</v>
      </c>
      <c r="F81" s="3" t="s">
        <v>302</v>
      </c>
      <c r="G81" s="3"/>
      <c r="H81" s="3" t="s">
        <v>47</v>
      </c>
      <c r="I81" s="3" t="s">
        <v>48</v>
      </c>
      <c r="J81" s="3" t="s">
        <v>205</v>
      </c>
    </row>
    <row r="82" spans="1:10">
      <c r="A82" s="3" t="s">
        <v>303</v>
      </c>
      <c r="B82" s="3" t="s">
        <v>31</v>
      </c>
      <c r="C82" s="3" t="s">
        <v>304</v>
      </c>
      <c r="D82" s="3">
        <v>2</v>
      </c>
      <c r="E82" s="3" t="s">
        <v>22</v>
      </c>
      <c r="F82" s="3" t="s">
        <v>305</v>
      </c>
      <c r="G82" s="3"/>
      <c r="H82" s="3" t="s">
        <v>47</v>
      </c>
      <c r="I82" s="3" t="s">
        <v>48</v>
      </c>
      <c r="J82" s="3" t="s">
        <v>205</v>
      </c>
    </row>
    <row r="83" spans="1:10">
      <c r="A83" s="3" t="s">
        <v>306</v>
      </c>
      <c r="B83" s="3" t="s">
        <v>31</v>
      </c>
      <c r="C83" s="3" t="s">
        <v>307</v>
      </c>
      <c r="D83" s="3">
        <v>2</v>
      </c>
      <c r="E83" s="3" t="s">
        <v>22</v>
      </c>
      <c r="F83" s="3" t="s">
        <v>308</v>
      </c>
      <c r="G83" s="3"/>
      <c r="H83" s="3" t="s">
        <v>47</v>
      </c>
      <c r="I83" s="3" t="s">
        <v>48</v>
      </c>
      <c r="J83" s="3" t="s">
        <v>205</v>
      </c>
    </row>
    <row r="84" spans="1:10">
      <c r="A84" s="3" t="s">
        <v>309</v>
      </c>
      <c r="B84" s="3" t="s">
        <v>31</v>
      </c>
      <c r="C84" s="3" t="s">
        <v>310</v>
      </c>
      <c r="D84" s="3">
        <v>2</v>
      </c>
      <c r="E84" s="3" t="s">
        <v>22</v>
      </c>
      <c r="F84" s="3" t="s">
        <v>311</v>
      </c>
      <c r="G84" s="3"/>
      <c r="H84" s="3" t="s">
        <v>47</v>
      </c>
      <c r="I84" s="3" t="s">
        <v>48</v>
      </c>
      <c r="J84" s="3" t="s">
        <v>205</v>
      </c>
    </row>
    <row r="85" spans="1:10">
      <c r="A85" s="3" t="s">
        <v>312</v>
      </c>
      <c r="B85" s="3" t="s">
        <v>31</v>
      </c>
      <c r="C85" s="3" t="s">
        <v>313</v>
      </c>
      <c r="D85" s="3">
        <v>2</v>
      </c>
      <c r="E85" s="3" t="s">
        <v>22</v>
      </c>
      <c r="F85" s="3" t="s">
        <v>314</v>
      </c>
      <c r="G85" s="3"/>
      <c r="H85" s="3" t="s">
        <v>47</v>
      </c>
      <c r="I85" s="3" t="s">
        <v>48</v>
      </c>
      <c r="J85" s="3" t="s">
        <v>205</v>
      </c>
    </row>
    <row r="86" spans="1:10">
      <c r="A86" s="3" t="s">
        <v>315</v>
      </c>
      <c r="B86" s="3" t="s">
        <v>31</v>
      </c>
      <c r="C86" s="3" t="s">
        <v>316</v>
      </c>
      <c r="D86" s="3">
        <v>2</v>
      </c>
      <c r="E86" s="3" t="s">
        <v>22</v>
      </c>
      <c r="F86" s="3" t="s">
        <v>317</v>
      </c>
      <c r="G86" s="3"/>
      <c r="H86" s="3" t="s">
        <v>57</v>
      </c>
      <c r="I86" s="3" t="s">
        <v>48</v>
      </c>
      <c r="J86" s="3" t="s">
        <v>205</v>
      </c>
    </row>
    <row r="87" spans="1:10" ht="30">
      <c r="A87" s="2" t="s">
        <v>318</v>
      </c>
      <c r="B87" s="2" t="s">
        <v>32</v>
      </c>
      <c r="C87" s="2" t="s">
        <v>319</v>
      </c>
      <c r="D87" s="2">
        <v>0</v>
      </c>
      <c r="E87" s="2" t="s">
        <v>22</v>
      </c>
      <c r="F87" s="2" t="s">
        <v>320</v>
      </c>
      <c r="G87" s="2" t="s">
        <v>321</v>
      </c>
      <c r="H87" s="2" t="s">
        <v>47</v>
      </c>
      <c r="I87" s="2" t="s">
        <v>48</v>
      </c>
      <c r="J87" s="2" t="s">
        <v>322</v>
      </c>
    </row>
    <row r="88" spans="1:10">
      <c r="A88" s="3" t="s">
        <v>323</v>
      </c>
      <c r="B88" s="3" t="s">
        <v>32</v>
      </c>
      <c r="C88" s="3" t="s">
        <v>324</v>
      </c>
      <c r="D88" s="3">
        <v>1</v>
      </c>
      <c r="E88" s="3" t="s">
        <v>22</v>
      </c>
      <c r="F88" s="3" t="s">
        <v>325</v>
      </c>
      <c r="G88" s="3" t="s">
        <v>326</v>
      </c>
      <c r="H88" s="3" t="s">
        <v>57</v>
      </c>
      <c r="I88" s="3" t="s">
        <v>48</v>
      </c>
      <c r="J88" s="3" t="s">
        <v>327</v>
      </c>
    </row>
    <row r="89" spans="1:10">
      <c r="A89" s="3" t="s">
        <v>328</v>
      </c>
      <c r="B89" s="3" t="s">
        <v>32</v>
      </c>
      <c r="C89" s="3" t="s">
        <v>329</v>
      </c>
      <c r="D89" s="3">
        <v>2</v>
      </c>
      <c r="E89" s="3" t="s">
        <v>22</v>
      </c>
      <c r="F89" s="3" t="s">
        <v>330</v>
      </c>
      <c r="G89" s="3"/>
      <c r="H89" s="3" t="s">
        <v>76</v>
      </c>
      <c r="I89" s="3" t="s">
        <v>48</v>
      </c>
      <c r="J89" s="3" t="s">
        <v>331</v>
      </c>
    </row>
    <row r="90" spans="1:10">
      <c r="A90" s="3" t="s">
        <v>332</v>
      </c>
      <c r="B90" s="3" t="s">
        <v>32</v>
      </c>
      <c r="C90" s="3" t="s">
        <v>333</v>
      </c>
      <c r="D90" s="3">
        <v>2</v>
      </c>
      <c r="E90" s="3" t="s">
        <v>22</v>
      </c>
      <c r="F90" s="3" t="s">
        <v>334</v>
      </c>
      <c r="G90" s="3"/>
      <c r="H90" s="3" t="s">
        <v>57</v>
      </c>
      <c r="I90" s="3" t="s">
        <v>48</v>
      </c>
      <c r="J90" s="3" t="s">
        <v>335</v>
      </c>
    </row>
    <row r="91" spans="1:10">
      <c r="A91" s="3" t="s">
        <v>336</v>
      </c>
      <c r="B91" s="3" t="s">
        <v>32</v>
      </c>
      <c r="C91" s="3" t="s">
        <v>337</v>
      </c>
      <c r="D91" s="3">
        <v>2</v>
      </c>
      <c r="E91" s="3" t="s">
        <v>22</v>
      </c>
      <c r="F91" s="3" t="s">
        <v>338</v>
      </c>
      <c r="G91" s="3"/>
      <c r="H91" s="3" t="s">
        <v>76</v>
      </c>
      <c r="I91" s="3" t="s">
        <v>48</v>
      </c>
      <c r="J91" s="3" t="s">
        <v>331</v>
      </c>
    </row>
    <row r="92" spans="1:10">
      <c r="A92" s="3" t="s">
        <v>339</v>
      </c>
      <c r="B92" s="3" t="s">
        <v>32</v>
      </c>
      <c r="C92" s="3" t="s">
        <v>340</v>
      </c>
      <c r="D92" s="3">
        <v>2</v>
      </c>
      <c r="E92" s="3" t="s">
        <v>22</v>
      </c>
      <c r="F92" s="3" t="s">
        <v>341</v>
      </c>
      <c r="G92" s="3"/>
      <c r="H92" s="3" t="s">
        <v>57</v>
      </c>
      <c r="I92" s="3" t="s">
        <v>48</v>
      </c>
      <c r="J92" s="3" t="s">
        <v>342</v>
      </c>
    </row>
    <row r="93" spans="1:10">
      <c r="A93" s="3" t="s">
        <v>343</v>
      </c>
      <c r="B93" s="3" t="s">
        <v>32</v>
      </c>
      <c r="C93" s="3" t="s">
        <v>344</v>
      </c>
      <c r="D93" s="3">
        <v>1</v>
      </c>
      <c r="E93" s="3" t="s">
        <v>22</v>
      </c>
      <c r="F93" s="3" t="s">
        <v>345</v>
      </c>
      <c r="G93" s="3" t="s">
        <v>346</v>
      </c>
      <c r="H93" s="3" t="s">
        <v>57</v>
      </c>
      <c r="I93" s="3" t="s">
        <v>48</v>
      </c>
      <c r="J93" s="3" t="s">
        <v>347</v>
      </c>
    </row>
    <row r="94" spans="1:10">
      <c r="A94" s="3" t="s">
        <v>348</v>
      </c>
      <c r="B94" s="3" t="s">
        <v>32</v>
      </c>
      <c r="C94" s="3" t="s">
        <v>349</v>
      </c>
      <c r="D94" s="3">
        <v>2</v>
      </c>
      <c r="E94" s="3" t="s">
        <v>22</v>
      </c>
      <c r="F94" s="3" t="s">
        <v>350</v>
      </c>
      <c r="G94" s="3"/>
      <c r="H94" s="3" t="s">
        <v>57</v>
      </c>
      <c r="I94" s="3" t="s">
        <v>48</v>
      </c>
      <c r="J94" s="3" t="s">
        <v>351</v>
      </c>
    </row>
    <row r="95" spans="1:10">
      <c r="A95" s="3" t="s">
        <v>352</v>
      </c>
      <c r="B95" s="3" t="s">
        <v>32</v>
      </c>
      <c r="C95" s="3" t="s">
        <v>353</v>
      </c>
      <c r="D95" s="3">
        <v>2</v>
      </c>
      <c r="E95" s="3" t="s">
        <v>22</v>
      </c>
      <c r="F95" s="3" t="s">
        <v>354</v>
      </c>
      <c r="G95" s="3"/>
      <c r="H95" s="3" t="s">
        <v>76</v>
      </c>
      <c r="I95" s="3" t="s">
        <v>48</v>
      </c>
      <c r="J95" s="3" t="s">
        <v>355</v>
      </c>
    </row>
    <row r="96" spans="1:10">
      <c r="A96" s="3" t="s">
        <v>356</v>
      </c>
      <c r="B96" s="3" t="s">
        <v>32</v>
      </c>
      <c r="C96" s="3" t="s">
        <v>357</v>
      </c>
      <c r="D96" s="3">
        <v>1</v>
      </c>
      <c r="E96" s="3" t="s">
        <v>22</v>
      </c>
      <c r="F96" s="3" t="s">
        <v>358</v>
      </c>
      <c r="G96" s="3" t="s">
        <v>359</v>
      </c>
      <c r="H96" s="3" t="s">
        <v>47</v>
      </c>
      <c r="I96" s="3" t="s">
        <v>48</v>
      </c>
      <c r="J96" s="3" t="s">
        <v>360</v>
      </c>
    </row>
    <row r="97" spans="1:10">
      <c r="A97" s="3" t="s">
        <v>361</v>
      </c>
      <c r="B97" s="3" t="s">
        <v>32</v>
      </c>
      <c r="C97" s="3" t="s">
        <v>362</v>
      </c>
      <c r="D97" s="3">
        <v>2</v>
      </c>
      <c r="E97" s="3" t="s">
        <v>22</v>
      </c>
      <c r="F97" s="3" t="s">
        <v>363</v>
      </c>
      <c r="G97" s="3"/>
      <c r="H97" s="3" t="s">
        <v>47</v>
      </c>
      <c r="I97" s="3" t="s">
        <v>48</v>
      </c>
      <c r="J97" s="3" t="s">
        <v>364</v>
      </c>
    </row>
    <row r="98" spans="1:10" ht="28.5">
      <c r="A98" s="3" t="s">
        <v>365</v>
      </c>
      <c r="B98" s="3" t="s">
        <v>32</v>
      </c>
      <c r="C98" s="3" t="s">
        <v>366</v>
      </c>
      <c r="D98" s="3">
        <v>2</v>
      </c>
      <c r="E98" s="3" t="s">
        <v>22</v>
      </c>
      <c r="F98" s="3" t="s">
        <v>367</v>
      </c>
      <c r="G98" s="3"/>
      <c r="H98" s="3" t="s">
        <v>47</v>
      </c>
      <c r="I98" s="3" t="s">
        <v>48</v>
      </c>
      <c r="J98" s="3" t="s">
        <v>368</v>
      </c>
    </row>
    <row r="99" spans="1:10">
      <c r="A99" s="3" t="s">
        <v>369</v>
      </c>
      <c r="B99" s="3" t="s">
        <v>32</v>
      </c>
      <c r="C99" s="3" t="s">
        <v>370</v>
      </c>
      <c r="D99" s="3">
        <v>2</v>
      </c>
      <c r="E99" s="3" t="s">
        <v>22</v>
      </c>
      <c r="F99" s="3" t="s">
        <v>371</v>
      </c>
      <c r="G99" s="3"/>
      <c r="H99" s="3" t="s">
        <v>47</v>
      </c>
      <c r="I99" s="3" t="s">
        <v>48</v>
      </c>
      <c r="J99" s="3" t="s">
        <v>372</v>
      </c>
    </row>
    <row r="100" spans="1:10" ht="28.5">
      <c r="A100" s="3" t="s">
        <v>373</v>
      </c>
      <c r="B100" s="3" t="s">
        <v>32</v>
      </c>
      <c r="C100" s="3" t="s">
        <v>374</v>
      </c>
      <c r="D100" s="3">
        <v>2</v>
      </c>
      <c r="E100" s="3" t="s">
        <v>22</v>
      </c>
      <c r="F100" s="3" t="s">
        <v>375</v>
      </c>
      <c r="G100" s="3"/>
      <c r="H100" s="3" t="s">
        <v>57</v>
      </c>
      <c r="I100" s="3" t="s">
        <v>48</v>
      </c>
      <c r="J100" s="3" t="s">
        <v>368</v>
      </c>
    </row>
    <row r="101" spans="1:10" ht="28.5">
      <c r="A101" s="3" t="s">
        <v>376</v>
      </c>
      <c r="B101" s="3" t="s">
        <v>32</v>
      </c>
      <c r="C101" s="3" t="s">
        <v>377</v>
      </c>
      <c r="D101" s="3">
        <v>1</v>
      </c>
      <c r="E101" s="3" t="s">
        <v>22</v>
      </c>
      <c r="F101" s="3" t="s">
        <v>378</v>
      </c>
      <c r="G101" s="3" t="s">
        <v>379</v>
      </c>
      <c r="H101" s="3" t="s">
        <v>47</v>
      </c>
      <c r="I101" s="3" t="s">
        <v>48</v>
      </c>
      <c r="J101" s="3" t="s">
        <v>380</v>
      </c>
    </row>
    <row r="102" spans="1:10">
      <c r="A102" s="3" t="s">
        <v>381</v>
      </c>
      <c r="B102" s="3" t="s">
        <v>32</v>
      </c>
      <c r="C102" s="3" t="s">
        <v>382</v>
      </c>
      <c r="D102" s="3">
        <v>1</v>
      </c>
      <c r="E102" s="3" t="s">
        <v>22</v>
      </c>
      <c r="F102" s="3" t="s">
        <v>383</v>
      </c>
      <c r="G102" s="3" t="s">
        <v>384</v>
      </c>
      <c r="H102" s="3" t="s">
        <v>57</v>
      </c>
      <c r="I102" s="3" t="s">
        <v>48</v>
      </c>
      <c r="J102" s="3" t="s">
        <v>385</v>
      </c>
    </row>
    <row r="103" spans="1:10">
      <c r="A103" s="3" t="s">
        <v>386</v>
      </c>
      <c r="B103" s="3" t="s">
        <v>32</v>
      </c>
      <c r="C103" s="3" t="s">
        <v>387</v>
      </c>
      <c r="D103" s="3">
        <v>2</v>
      </c>
      <c r="E103" s="3" t="s">
        <v>22</v>
      </c>
      <c r="F103" s="3" t="s">
        <v>388</v>
      </c>
      <c r="G103" s="3"/>
      <c r="H103" s="3" t="s">
        <v>57</v>
      </c>
      <c r="I103" s="3" t="s">
        <v>48</v>
      </c>
      <c r="J103" s="3" t="s">
        <v>389</v>
      </c>
    </row>
    <row r="104" spans="1:10" ht="28.5">
      <c r="A104" s="3" t="s">
        <v>390</v>
      </c>
      <c r="B104" s="3" t="s">
        <v>32</v>
      </c>
      <c r="C104" s="3" t="s">
        <v>391</v>
      </c>
      <c r="D104" s="3">
        <v>2</v>
      </c>
      <c r="E104" s="3" t="s">
        <v>22</v>
      </c>
      <c r="F104" s="3" t="s">
        <v>392</v>
      </c>
      <c r="G104" s="3"/>
      <c r="H104" s="3" t="s">
        <v>57</v>
      </c>
      <c r="I104" s="3" t="s">
        <v>48</v>
      </c>
      <c r="J104" s="3" t="s">
        <v>393</v>
      </c>
    </row>
    <row r="105" spans="1:10" ht="28.5">
      <c r="A105" s="3" t="s">
        <v>394</v>
      </c>
      <c r="B105" s="3" t="s">
        <v>32</v>
      </c>
      <c r="C105" s="3" t="s">
        <v>395</v>
      </c>
      <c r="D105" s="3">
        <v>2</v>
      </c>
      <c r="E105" s="3" t="s">
        <v>22</v>
      </c>
      <c r="F105" s="3" t="s">
        <v>396</v>
      </c>
      <c r="G105" s="3"/>
      <c r="H105" s="3" t="s">
        <v>76</v>
      </c>
      <c r="I105" s="3" t="s">
        <v>48</v>
      </c>
      <c r="J105" s="3" t="s">
        <v>397</v>
      </c>
    </row>
    <row r="106" spans="1:10">
      <c r="A106" s="3" t="s">
        <v>398</v>
      </c>
      <c r="B106" s="3" t="s">
        <v>32</v>
      </c>
      <c r="C106" s="3" t="s">
        <v>399</v>
      </c>
      <c r="D106" s="3">
        <v>1</v>
      </c>
      <c r="E106" s="3" t="s">
        <v>22</v>
      </c>
      <c r="F106" s="3" t="s">
        <v>400</v>
      </c>
      <c r="G106" s="3" t="s">
        <v>401</v>
      </c>
      <c r="H106" s="3" t="s">
        <v>57</v>
      </c>
      <c r="I106" s="3" t="s">
        <v>48</v>
      </c>
      <c r="J106" s="3" t="s">
        <v>402</v>
      </c>
    </row>
    <row r="107" spans="1:10" ht="28.5">
      <c r="A107" s="3" t="s">
        <v>403</v>
      </c>
      <c r="B107" s="3" t="s">
        <v>32</v>
      </c>
      <c r="C107" s="3" t="s">
        <v>404</v>
      </c>
      <c r="D107" s="3">
        <v>2</v>
      </c>
      <c r="E107" s="3" t="s">
        <v>22</v>
      </c>
      <c r="F107" s="3" t="s">
        <v>405</v>
      </c>
      <c r="G107" s="3"/>
      <c r="H107" s="3" t="s">
        <v>47</v>
      </c>
      <c r="I107" s="3" t="s">
        <v>48</v>
      </c>
      <c r="J107" s="3" t="s">
        <v>406</v>
      </c>
    </row>
    <row r="108" spans="1:10" ht="28.5">
      <c r="A108" s="3" t="s">
        <v>407</v>
      </c>
      <c r="B108" s="3" t="s">
        <v>32</v>
      </c>
      <c r="C108" s="3" t="s">
        <v>408</v>
      </c>
      <c r="D108" s="3">
        <v>2</v>
      </c>
      <c r="E108" s="3" t="s">
        <v>22</v>
      </c>
      <c r="F108" s="3" t="s">
        <v>409</v>
      </c>
      <c r="G108" s="3"/>
      <c r="H108" s="3" t="s">
        <v>57</v>
      </c>
      <c r="I108" s="3" t="s">
        <v>48</v>
      </c>
      <c r="J108" s="3" t="s">
        <v>410</v>
      </c>
    </row>
    <row r="109" spans="1:10">
      <c r="A109" s="3" t="s">
        <v>411</v>
      </c>
      <c r="B109" s="3" t="s">
        <v>32</v>
      </c>
      <c r="C109" s="3" t="s">
        <v>412</v>
      </c>
      <c r="D109" s="3">
        <v>2</v>
      </c>
      <c r="E109" s="3" t="s">
        <v>22</v>
      </c>
      <c r="F109" s="3" t="s">
        <v>413</v>
      </c>
      <c r="G109" s="3"/>
      <c r="H109" s="3" t="s">
        <v>57</v>
      </c>
      <c r="I109" s="3" t="s">
        <v>48</v>
      </c>
      <c r="J109" s="3" t="s">
        <v>414</v>
      </c>
    </row>
    <row r="110" spans="1:10">
      <c r="A110" s="3" t="s">
        <v>415</v>
      </c>
      <c r="B110" s="3" t="s">
        <v>32</v>
      </c>
      <c r="C110" s="3" t="s">
        <v>416</v>
      </c>
      <c r="D110" s="3">
        <v>2</v>
      </c>
      <c r="E110" s="3" t="s">
        <v>22</v>
      </c>
      <c r="F110" s="3" t="s">
        <v>417</v>
      </c>
      <c r="G110" s="3"/>
      <c r="H110" s="3" t="s">
        <v>76</v>
      </c>
      <c r="I110" s="3" t="s">
        <v>48</v>
      </c>
      <c r="J110" s="3" t="s">
        <v>418</v>
      </c>
    </row>
    <row r="111" spans="1:10">
      <c r="A111" s="3" t="s">
        <v>419</v>
      </c>
      <c r="B111" s="3" t="s">
        <v>32</v>
      </c>
      <c r="C111" s="3" t="s">
        <v>420</v>
      </c>
      <c r="D111" s="3">
        <v>1</v>
      </c>
      <c r="E111" s="3" t="s">
        <v>22</v>
      </c>
      <c r="F111" s="3" t="s">
        <v>421</v>
      </c>
      <c r="G111" s="3" t="s">
        <v>422</v>
      </c>
      <c r="H111" s="3" t="s">
        <v>47</v>
      </c>
      <c r="I111" s="3" t="s">
        <v>48</v>
      </c>
      <c r="J111" s="3" t="s">
        <v>423</v>
      </c>
    </row>
    <row r="112" spans="1:10">
      <c r="A112" s="3" t="s">
        <v>424</v>
      </c>
      <c r="B112" s="3" t="s">
        <v>32</v>
      </c>
      <c r="C112" s="3" t="s">
        <v>425</v>
      </c>
      <c r="D112" s="3">
        <v>2</v>
      </c>
      <c r="E112" s="3" t="s">
        <v>22</v>
      </c>
      <c r="F112" s="3" t="s">
        <v>426</v>
      </c>
      <c r="G112" s="3"/>
      <c r="H112" s="3" t="s">
        <v>57</v>
      </c>
      <c r="I112" s="3" t="s">
        <v>48</v>
      </c>
      <c r="J112" s="3" t="s">
        <v>427</v>
      </c>
    </row>
    <row r="113" spans="1:10" ht="28.5">
      <c r="A113" s="3" t="s">
        <v>428</v>
      </c>
      <c r="B113" s="3" t="s">
        <v>32</v>
      </c>
      <c r="C113" s="3" t="s">
        <v>429</v>
      </c>
      <c r="D113" s="3">
        <v>2</v>
      </c>
      <c r="E113" s="3" t="s">
        <v>22</v>
      </c>
      <c r="F113" s="3" t="s">
        <v>430</v>
      </c>
      <c r="G113" s="3"/>
      <c r="H113" s="3" t="s">
        <v>47</v>
      </c>
      <c r="I113" s="3" t="s">
        <v>48</v>
      </c>
      <c r="J113" s="3" t="s">
        <v>431</v>
      </c>
    </row>
    <row r="114" spans="1:10" ht="28.5">
      <c r="A114" s="3" t="s">
        <v>432</v>
      </c>
      <c r="B114" s="3" t="s">
        <v>32</v>
      </c>
      <c r="C114" s="3" t="s">
        <v>433</v>
      </c>
      <c r="D114" s="3">
        <v>2</v>
      </c>
      <c r="E114" s="3" t="s">
        <v>22</v>
      </c>
      <c r="F114" s="3" t="s">
        <v>434</v>
      </c>
      <c r="G114" s="3"/>
      <c r="H114" s="3" t="s">
        <v>57</v>
      </c>
      <c r="I114" s="3" t="s">
        <v>48</v>
      </c>
      <c r="J114" s="3" t="s">
        <v>435</v>
      </c>
    </row>
    <row r="115" spans="1:10" ht="28.5">
      <c r="A115" s="3" t="s">
        <v>436</v>
      </c>
      <c r="B115" s="3" t="s">
        <v>32</v>
      </c>
      <c r="C115" s="3" t="s">
        <v>437</v>
      </c>
      <c r="D115" s="3">
        <v>2</v>
      </c>
      <c r="E115" s="3" t="s">
        <v>22</v>
      </c>
      <c r="F115" s="3" t="s">
        <v>438</v>
      </c>
      <c r="G115" s="3"/>
      <c r="H115" s="3" t="s">
        <v>76</v>
      </c>
      <c r="I115" s="3" t="s">
        <v>48</v>
      </c>
      <c r="J115" s="3" t="s">
        <v>439</v>
      </c>
    </row>
    <row r="116" spans="1:10">
      <c r="A116" s="3" t="s">
        <v>440</v>
      </c>
      <c r="B116" s="3" t="s">
        <v>32</v>
      </c>
      <c r="C116" s="3" t="s">
        <v>441</v>
      </c>
      <c r="D116" s="3">
        <v>1</v>
      </c>
      <c r="E116" s="3" t="s">
        <v>22</v>
      </c>
      <c r="F116" s="3" t="s">
        <v>442</v>
      </c>
      <c r="G116" s="3" t="s">
        <v>443</v>
      </c>
      <c r="H116" s="3" t="s">
        <v>47</v>
      </c>
      <c r="I116" s="3" t="s">
        <v>48</v>
      </c>
      <c r="J116" s="3" t="s">
        <v>444</v>
      </c>
    </row>
    <row r="117" spans="1:10" ht="28.5">
      <c r="A117" s="3" t="s">
        <v>445</v>
      </c>
      <c r="B117" s="3" t="s">
        <v>32</v>
      </c>
      <c r="C117" s="3" t="s">
        <v>446</v>
      </c>
      <c r="D117" s="3">
        <v>2</v>
      </c>
      <c r="E117" s="3" t="s">
        <v>22</v>
      </c>
      <c r="F117" s="3" t="s">
        <v>447</v>
      </c>
      <c r="G117" s="3"/>
      <c r="H117" s="3" t="s">
        <v>47</v>
      </c>
      <c r="I117" s="3" t="s">
        <v>48</v>
      </c>
      <c r="J117" s="3" t="s">
        <v>448</v>
      </c>
    </row>
    <row r="118" spans="1:10" ht="28.5">
      <c r="A118" s="3" t="s">
        <v>449</v>
      </c>
      <c r="B118" s="3" t="s">
        <v>32</v>
      </c>
      <c r="C118" s="3" t="s">
        <v>450</v>
      </c>
      <c r="D118" s="3">
        <v>2</v>
      </c>
      <c r="E118" s="3" t="s">
        <v>22</v>
      </c>
      <c r="F118" s="3" t="s">
        <v>451</v>
      </c>
      <c r="G118" s="3"/>
      <c r="H118" s="3" t="s">
        <v>57</v>
      </c>
      <c r="I118" s="3" t="s">
        <v>48</v>
      </c>
      <c r="J118" s="3" t="s">
        <v>452</v>
      </c>
    </row>
    <row r="119" spans="1:10" ht="28.5">
      <c r="A119" s="3" t="s">
        <v>453</v>
      </c>
      <c r="B119" s="3" t="s">
        <v>32</v>
      </c>
      <c r="C119" s="3" t="s">
        <v>454</v>
      </c>
      <c r="D119" s="3">
        <v>2</v>
      </c>
      <c r="E119" s="3" t="s">
        <v>22</v>
      </c>
      <c r="F119" s="3" t="s">
        <v>455</v>
      </c>
      <c r="G119" s="3"/>
      <c r="H119" s="3" t="s">
        <v>57</v>
      </c>
      <c r="I119" s="3" t="s">
        <v>48</v>
      </c>
      <c r="J119" s="3" t="s">
        <v>456</v>
      </c>
    </row>
    <row r="120" spans="1:10">
      <c r="A120" s="3" t="s">
        <v>457</v>
      </c>
      <c r="B120" s="3" t="s">
        <v>32</v>
      </c>
      <c r="C120" s="3" t="s">
        <v>458</v>
      </c>
      <c r="D120" s="3">
        <v>1</v>
      </c>
      <c r="E120" s="3" t="s">
        <v>22</v>
      </c>
      <c r="F120" s="3" t="s">
        <v>459</v>
      </c>
      <c r="G120" s="3" t="s">
        <v>460</v>
      </c>
      <c r="H120" s="3" t="s">
        <v>47</v>
      </c>
      <c r="I120" s="3" t="s">
        <v>48</v>
      </c>
      <c r="J120" s="3" t="s">
        <v>461</v>
      </c>
    </row>
    <row r="121" spans="1:10" ht="28.5">
      <c r="A121" s="3" t="s">
        <v>462</v>
      </c>
      <c r="B121" s="3" t="s">
        <v>32</v>
      </c>
      <c r="C121" s="3" t="s">
        <v>463</v>
      </c>
      <c r="D121" s="3">
        <v>2</v>
      </c>
      <c r="E121" s="3" t="s">
        <v>22</v>
      </c>
      <c r="F121" s="3" t="s">
        <v>464</v>
      </c>
      <c r="G121" s="3"/>
      <c r="H121" s="3" t="s">
        <v>47</v>
      </c>
      <c r="I121" s="3" t="s">
        <v>48</v>
      </c>
      <c r="J121" s="3" t="s">
        <v>465</v>
      </c>
    </row>
    <row r="122" spans="1:10" ht="28.5">
      <c r="A122" s="3" t="s">
        <v>466</v>
      </c>
      <c r="B122" s="3" t="s">
        <v>32</v>
      </c>
      <c r="C122" s="3" t="s">
        <v>467</v>
      </c>
      <c r="D122" s="3">
        <v>2</v>
      </c>
      <c r="E122" s="3" t="s">
        <v>22</v>
      </c>
      <c r="F122" s="3" t="s">
        <v>468</v>
      </c>
      <c r="G122" s="3"/>
      <c r="H122" s="3" t="s">
        <v>47</v>
      </c>
      <c r="I122" s="3" t="s">
        <v>48</v>
      </c>
      <c r="J122" s="3" t="s">
        <v>469</v>
      </c>
    </row>
    <row r="123" spans="1:10" ht="28.5">
      <c r="A123" s="3" t="s">
        <v>470</v>
      </c>
      <c r="B123" s="3" t="s">
        <v>32</v>
      </c>
      <c r="C123" s="3" t="s">
        <v>471</v>
      </c>
      <c r="D123" s="3">
        <v>2</v>
      </c>
      <c r="E123" s="3" t="s">
        <v>22</v>
      </c>
      <c r="F123" s="3" t="s">
        <v>472</v>
      </c>
      <c r="G123" s="3"/>
      <c r="H123" s="3" t="s">
        <v>57</v>
      </c>
      <c r="I123" s="3" t="s">
        <v>48</v>
      </c>
      <c r="J123" s="3" t="s">
        <v>473</v>
      </c>
    </row>
    <row r="124" spans="1:10" ht="28.5">
      <c r="A124" s="3" t="s">
        <v>474</v>
      </c>
      <c r="B124" s="3" t="s">
        <v>32</v>
      </c>
      <c r="C124" s="3" t="s">
        <v>475</v>
      </c>
      <c r="D124" s="3">
        <v>2</v>
      </c>
      <c r="E124" s="3" t="s">
        <v>22</v>
      </c>
      <c r="F124" s="3" t="s">
        <v>476</v>
      </c>
      <c r="G124" s="3"/>
      <c r="H124" s="3" t="s">
        <v>57</v>
      </c>
      <c r="I124" s="3" t="s">
        <v>48</v>
      </c>
      <c r="J124" s="3" t="s">
        <v>477</v>
      </c>
    </row>
    <row r="125" spans="1:10" ht="28.5">
      <c r="A125" s="3" t="s">
        <v>478</v>
      </c>
      <c r="B125" s="3" t="s">
        <v>32</v>
      </c>
      <c r="C125" s="3" t="s">
        <v>479</v>
      </c>
      <c r="D125" s="3">
        <v>2</v>
      </c>
      <c r="E125" s="3" t="s">
        <v>22</v>
      </c>
      <c r="F125" s="3" t="s">
        <v>480</v>
      </c>
      <c r="G125" s="3"/>
      <c r="H125" s="3" t="s">
        <v>47</v>
      </c>
      <c r="I125" s="3" t="s">
        <v>48</v>
      </c>
      <c r="J125" s="3" t="s">
        <v>481</v>
      </c>
    </row>
    <row r="126" spans="1:10">
      <c r="A126" s="2" t="s">
        <v>482</v>
      </c>
      <c r="B126" s="2" t="s">
        <v>33</v>
      </c>
      <c r="C126" s="2" t="s">
        <v>483</v>
      </c>
      <c r="D126" s="2">
        <v>0</v>
      </c>
      <c r="E126" s="2" t="s">
        <v>22</v>
      </c>
      <c r="F126" s="2" t="s">
        <v>484</v>
      </c>
      <c r="G126" s="2" t="s">
        <v>485</v>
      </c>
      <c r="H126" s="2" t="s">
        <v>47</v>
      </c>
      <c r="I126" s="2" t="s">
        <v>48</v>
      </c>
      <c r="J126" s="2" t="s">
        <v>486</v>
      </c>
    </row>
    <row r="127" spans="1:10">
      <c r="A127" s="3" t="s">
        <v>487</v>
      </c>
      <c r="B127" s="3" t="s">
        <v>33</v>
      </c>
      <c r="C127" s="3" t="s">
        <v>488</v>
      </c>
      <c r="D127" s="3">
        <v>1</v>
      </c>
      <c r="E127" s="3" t="s">
        <v>22</v>
      </c>
      <c r="F127" s="3" t="s">
        <v>489</v>
      </c>
      <c r="G127" s="3" t="s">
        <v>490</v>
      </c>
      <c r="H127" s="3" t="s">
        <v>47</v>
      </c>
      <c r="I127" s="3" t="s">
        <v>48</v>
      </c>
      <c r="J127" s="3" t="s">
        <v>486</v>
      </c>
    </row>
    <row r="128" spans="1:10">
      <c r="A128" s="3" t="s">
        <v>491</v>
      </c>
      <c r="B128" s="3" t="s">
        <v>33</v>
      </c>
      <c r="C128" s="3" t="s">
        <v>492</v>
      </c>
      <c r="D128" s="3">
        <v>2</v>
      </c>
      <c r="E128" s="3" t="s">
        <v>22</v>
      </c>
      <c r="F128" s="3" t="s">
        <v>493</v>
      </c>
      <c r="G128" s="3"/>
      <c r="H128" s="3" t="s">
        <v>47</v>
      </c>
      <c r="I128" s="3" t="s">
        <v>48</v>
      </c>
      <c r="J128" s="3" t="s">
        <v>486</v>
      </c>
    </row>
    <row r="129" spans="1:10">
      <c r="A129" s="3" t="s">
        <v>494</v>
      </c>
      <c r="B129" s="3" t="s">
        <v>33</v>
      </c>
      <c r="C129" s="3" t="s">
        <v>495</v>
      </c>
      <c r="D129" s="3">
        <v>2</v>
      </c>
      <c r="E129" s="3" t="s">
        <v>22</v>
      </c>
      <c r="F129" s="3" t="s">
        <v>496</v>
      </c>
      <c r="G129" s="3"/>
      <c r="H129" s="3" t="s">
        <v>47</v>
      </c>
      <c r="I129" s="3" t="s">
        <v>48</v>
      </c>
      <c r="J129" s="3" t="s">
        <v>486</v>
      </c>
    </row>
    <row r="130" spans="1:10">
      <c r="A130" s="3" t="s">
        <v>497</v>
      </c>
      <c r="B130" s="3" t="s">
        <v>33</v>
      </c>
      <c r="C130" s="3" t="s">
        <v>498</v>
      </c>
      <c r="D130" s="3">
        <v>2</v>
      </c>
      <c r="E130" s="3" t="s">
        <v>22</v>
      </c>
      <c r="F130" s="3" t="s">
        <v>499</v>
      </c>
      <c r="G130" s="3"/>
      <c r="H130" s="3" t="s">
        <v>57</v>
      </c>
      <c r="I130" s="3" t="s">
        <v>48</v>
      </c>
      <c r="J130" s="3" t="s">
        <v>486</v>
      </c>
    </row>
    <row r="131" spans="1:10">
      <c r="A131" s="3" t="s">
        <v>500</v>
      </c>
      <c r="B131" s="3" t="s">
        <v>33</v>
      </c>
      <c r="C131" s="3" t="s">
        <v>501</v>
      </c>
      <c r="D131" s="3">
        <v>2</v>
      </c>
      <c r="E131" s="3" t="s">
        <v>22</v>
      </c>
      <c r="F131" s="3" t="s">
        <v>502</v>
      </c>
      <c r="G131" s="3"/>
      <c r="H131" s="3" t="s">
        <v>57</v>
      </c>
      <c r="I131" s="3" t="s">
        <v>48</v>
      </c>
      <c r="J131" s="3" t="s">
        <v>486</v>
      </c>
    </row>
    <row r="132" spans="1:10">
      <c r="A132" s="3" t="s">
        <v>503</v>
      </c>
      <c r="B132" s="3" t="s">
        <v>33</v>
      </c>
      <c r="C132" s="3" t="s">
        <v>504</v>
      </c>
      <c r="D132" s="3">
        <v>2</v>
      </c>
      <c r="E132" s="3" t="s">
        <v>22</v>
      </c>
      <c r="F132" s="3" t="s">
        <v>505</v>
      </c>
      <c r="G132" s="3"/>
      <c r="H132" s="3" t="s">
        <v>76</v>
      </c>
      <c r="I132" s="3" t="s">
        <v>48</v>
      </c>
      <c r="J132" s="3" t="s">
        <v>486</v>
      </c>
    </row>
    <row r="133" spans="1:10">
      <c r="A133" s="3" t="s">
        <v>506</v>
      </c>
      <c r="B133" s="3" t="s">
        <v>33</v>
      </c>
      <c r="C133" s="3" t="s">
        <v>507</v>
      </c>
      <c r="D133" s="3">
        <v>2</v>
      </c>
      <c r="E133" s="3" t="s">
        <v>22</v>
      </c>
      <c r="F133" s="3" t="s">
        <v>508</v>
      </c>
      <c r="G133" s="3"/>
      <c r="H133" s="3" t="s">
        <v>47</v>
      </c>
      <c r="I133" s="3" t="s">
        <v>48</v>
      </c>
      <c r="J133" s="3" t="s">
        <v>486</v>
      </c>
    </row>
    <row r="134" spans="1:10" ht="28.5">
      <c r="A134" s="3" t="s">
        <v>509</v>
      </c>
      <c r="B134" s="3" t="s">
        <v>33</v>
      </c>
      <c r="C134" s="3" t="s">
        <v>510</v>
      </c>
      <c r="D134" s="3">
        <v>2</v>
      </c>
      <c r="E134" s="3" t="s">
        <v>22</v>
      </c>
      <c r="F134" s="3" t="s">
        <v>511</v>
      </c>
      <c r="G134" s="3"/>
      <c r="H134" s="3" t="s">
        <v>47</v>
      </c>
      <c r="I134" s="3" t="s">
        <v>48</v>
      </c>
      <c r="J134" s="3" t="s">
        <v>486</v>
      </c>
    </row>
    <row r="135" spans="1:10">
      <c r="A135" s="3" t="s">
        <v>512</v>
      </c>
      <c r="B135" s="3" t="s">
        <v>33</v>
      </c>
      <c r="C135" s="3" t="s">
        <v>513</v>
      </c>
      <c r="D135" s="3">
        <v>2</v>
      </c>
      <c r="E135" s="3" t="s">
        <v>22</v>
      </c>
      <c r="F135" s="3" t="s">
        <v>514</v>
      </c>
      <c r="G135" s="3"/>
      <c r="H135" s="3" t="s">
        <v>57</v>
      </c>
      <c r="I135" s="3" t="s">
        <v>48</v>
      </c>
      <c r="J135" s="3" t="s">
        <v>486</v>
      </c>
    </row>
    <row r="136" spans="1:10">
      <c r="A136" s="3" t="s">
        <v>515</v>
      </c>
      <c r="B136" s="3" t="s">
        <v>33</v>
      </c>
      <c r="C136" s="3" t="s">
        <v>516</v>
      </c>
      <c r="D136" s="3">
        <v>2</v>
      </c>
      <c r="E136" s="3" t="s">
        <v>22</v>
      </c>
      <c r="F136" s="3" t="s">
        <v>517</v>
      </c>
      <c r="G136" s="3"/>
      <c r="H136" s="3" t="s">
        <v>57</v>
      </c>
      <c r="I136" s="3" t="s">
        <v>48</v>
      </c>
      <c r="J136" s="3" t="s">
        <v>486</v>
      </c>
    </row>
    <row r="137" spans="1:10">
      <c r="A137" s="3" t="s">
        <v>518</v>
      </c>
      <c r="B137" s="3" t="s">
        <v>33</v>
      </c>
      <c r="C137" s="3" t="s">
        <v>519</v>
      </c>
      <c r="D137" s="3">
        <v>2</v>
      </c>
      <c r="E137" s="3" t="s">
        <v>22</v>
      </c>
      <c r="F137" s="3" t="s">
        <v>520</v>
      </c>
      <c r="G137" s="3"/>
      <c r="H137" s="3" t="s">
        <v>76</v>
      </c>
      <c r="I137" s="3" t="s">
        <v>48</v>
      </c>
      <c r="J137" s="3" t="s">
        <v>486</v>
      </c>
    </row>
    <row r="138" spans="1:10">
      <c r="A138" s="3" t="s">
        <v>521</v>
      </c>
      <c r="B138" s="3" t="s">
        <v>33</v>
      </c>
      <c r="C138" s="3" t="s">
        <v>522</v>
      </c>
      <c r="D138" s="3">
        <v>1</v>
      </c>
      <c r="E138" s="3" t="s">
        <v>22</v>
      </c>
      <c r="F138" s="3" t="s">
        <v>523</v>
      </c>
      <c r="G138" s="3" t="s">
        <v>524</v>
      </c>
      <c r="H138" s="3" t="s">
        <v>57</v>
      </c>
      <c r="I138" s="3" t="s">
        <v>48</v>
      </c>
      <c r="J138" s="3" t="s">
        <v>486</v>
      </c>
    </row>
    <row r="139" spans="1:10">
      <c r="A139" s="3" t="s">
        <v>525</v>
      </c>
      <c r="B139" s="3" t="s">
        <v>33</v>
      </c>
      <c r="C139" s="3" t="s">
        <v>526</v>
      </c>
      <c r="D139" s="3">
        <v>2</v>
      </c>
      <c r="E139" s="3" t="s">
        <v>22</v>
      </c>
      <c r="F139" s="3" t="s">
        <v>527</v>
      </c>
      <c r="G139" s="3"/>
      <c r="H139" s="3" t="s">
        <v>57</v>
      </c>
      <c r="I139" s="3" t="s">
        <v>48</v>
      </c>
      <c r="J139" s="3" t="s">
        <v>486</v>
      </c>
    </row>
    <row r="140" spans="1:10">
      <c r="A140" s="3" t="s">
        <v>528</v>
      </c>
      <c r="B140" s="3" t="s">
        <v>33</v>
      </c>
      <c r="C140" s="3" t="s">
        <v>529</v>
      </c>
      <c r="D140" s="3">
        <v>2</v>
      </c>
      <c r="E140" s="3" t="s">
        <v>22</v>
      </c>
      <c r="F140" s="3" t="s">
        <v>530</v>
      </c>
      <c r="G140" s="3"/>
      <c r="H140" s="3" t="s">
        <v>47</v>
      </c>
      <c r="I140" s="3" t="s">
        <v>48</v>
      </c>
      <c r="J140" s="3" t="s">
        <v>486</v>
      </c>
    </row>
    <row r="141" spans="1:10">
      <c r="A141" s="3" t="s">
        <v>531</v>
      </c>
      <c r="B141" s="3" t="s">
        <v>33</v>
      </c>
      <c r="C141" s="3" t="s">
        <v>532</v>
      </c>
      <c r="D141" s="3">
        <v>2</v>
      </c>
      <c r="E141" s="3" t="s">
        <v>22</v>
      </c>
      <c r="F141" s="3" t="s">
        <v>533</v>
      </c>
      <c r="G141" s="3"/>
      <c r="H141" s="3" t="s">
        <v>57</v>
      </c>
      <c r="I141" s="3" t="s">
        <v>48</v>
      </c>
      <c r="J141" s="3" t="s">
        <v>486</v>
      </c>
    </row>
    <row r="142" spans="1:10">
      <c r="A142" s="3" t="s">
        <v>534</v>
      </c>
      <c r="B142" s="3" t="s">
        <v>33</v>
      </c>
      <c r="C142" s="3" t="s">
        <v>535</v>
      </c>
      <c r="D142" s="3">
        <v>1</v>
      </c>
      <c r="E142" s="3" t="s">
        <v>22</v>
      </c>
      <c r="F142" s="3" t="s">
        <v>536</v>
      </c>
      <c r="G142" s="3" t="s">
        <v>537</v>
      </c>
      <c r="H142" s="3" t="s">
        <v>47</v>
      </c>
      <c r="I142" s="3" t="s">
        <v>48</v>
      </c>
      <c r="J142" s="3" t="s">
        <v>486</v>
      </c>
    </row>
    <row r="143" spans="1:10">
      <c r="A143" s="3" t="s">
        <v>538</v>
      </c>
      <c r="B143" s="3" t="s">
        <v>33</v>
      </c>
      <c r="C143" s="3" t="s">
        <v>539</v>
      </c>
      <c r="D143" s="3">
        <v>2</v>
      </c>
      <c r="E143" s="3" t="s">
        <v>22</v>
      </c>
      <c r="F143" s="3" t="s">
        <v>540</v>
      </c>
      <c r="G143" s="3"/>
      <c r="H143" s="3" t="s">
        <v>47</v>
      </c>
      <c r="I143" s="3" t="s">
        <v>48</v>
      </c>
      <c r="J143" s="3" t="s">
        <v>486</v>
      </c>
    </row>
    <row r="144" spans="1:10">
      <c r="A144" s="3" t="s">
        <v>541</v>
      </c>
      <c r="B144" s="3" t="s">
        <v>33</v>
      </c>
      <c r="C144" s="3" t="s">
        <v>542</v>
      </c>
      <c r="D144" s="3">
        <v>2</v>
      </c>
      <c r="E144" s="3" t="s">
        <v>22</v>
      </c>
      <c r="F144" s="3" t="s">
        <v>543</v>
      </c>
      <c r="G144" s="3"/>
      <c r="H144" s="3" t="s">
        <v>76</v>
      </c>
      <c r="I144" s="3" t="s">
        <v>48</v>
      </c>
      <c r="J144" s="3" t="s">
        <v>486</v>
      </c>
    </row>
    <row r="145" spans="1:10">
      <c r="A145" s="3" t="s">
        <v>544</v>
      </c>
      <c r="B145" s="3" t="s">
        <v>33</v>
      </c>
      <c r="C145" s="3" t="s">
        <v>545</v>
      </c>
      <c r="D145" s="3">
        <v>2</v>
      </c>
      <c r="E145" s="3" t="s">
        <v>22</v>
      </c>
      <c r="F145" s="3" t="s">
        <v>546</v>
      </c>
      <c r="G145" s="3"/>
      <c r="H145" s="3" t="s">
        <v>47</v>
      </c>
      <c r="I145" s="3" t="s">
        <v>48</v>
      </c>
      <c r="J145" s="3" t="s">
        <v>486</v>
      </c>
    </row>
    <row r="146" spans="1:10">
      <c r="A146" s="3" t="s">
        <v>547</v>
      </c>
      <c r="B146" s="3" t="s">
        <v>33</v>
      </c>
      <c r="C146" s="3" t="s">
        <v>548</v>
      </c>
      <c r="D146" s="3">
        <v>2</v>
      </c>
      <c r="E146" s="3" t="s">
        <v>22</v>
      </c>
      <c r="F146" s="3" t="s">
        <v>549</v>
      </c>
      <c r="G146" s="3"/>
      <c r="H146" s="3" t="s">
        <v>76</v>
      </c>
      <c r="I146" s="3" t="s">
        <v>48</v>
      </c>
      <c r="J146" s="3" t="s">
        <v>486</v>
      </c>
    </row>
    <row r="147" spans="1:10">
      <c r="A147" s="3" t="s">
        <v>550</v>
      </c>
      <c r="B147" s="3" t="s">
        <v>33</v>
      </c>
      <c r="C147" s="3" t="s">
        <v>551</v>
      </c>
      <c r="D147" s="3">
        <v>2</v>
      </c>
      <c r="E147" s="3" t="s">
        <v>22</v>
      </c>
      <c r="F147" s="3" t="s">
        <v>552</v>
      </c>
      <c r="G147" s="3"/>
      <c r="H147" s="3" t="s">
        <v>57</v>
      </c>
      <c r="I147" s="3" t="s">
        <v>48</v>
      </c>
      <c r="J147" s="3" t="s">
        <v>486</v>
      </c>
    </row>
    <row r="148" spans="1:10">
      <c r="A148" s="3" t="s">
        <v>553</v>
      </c>
      <c r="B148" s="3" t="s">
        <v>33</v>
      </c>
      <c r="C148" s="3" t="s">
        <v>554</v>
      </c>
      <c r="D148" s="3">
        <v>2</v>
      </c>
      <c r="E148" s="3" t="s">
        <v>22</v>
      </c>
      <c r="F148" s="3" t="s">
        <v>555</v>
      </c>
      <c r="G148" s="3"/>
      <c r="H148" s="3" t="s">
        <v>47</v>
      </c>
      <c r="I148" s="3" t="s">
        <v>48</v>
      </c>
      <c r="J148" s="3" t="s">
        <v>486</v>
      </c>
    </row>
    <row r="149" spans="1:10">
      <c r="A149" s="3" t="s">
        <v>556</v>
      </c>
      <c r="B149" s="3" t="s">
        <v>33</v>
      </c>
      <c r="C149" s="3" t="s">
        <v>557</v>
      </c>
      <c r="D149" s="3">
        <v>2</v>
      </c>
      <c r="E149" s="3" t="s">
        <v>22</v>
      </c>
      <c r="F149" s="3" t="s">
        <v>558</v>
      </c>
      <c r="G149" s="3"/>
      <c r="H149" s="3" t="s">
        <v>57</v>
      </c>
      <c r="I149" s="3" t="s">
        <v>48</v>
      </c>
      <c r="J149" s="3" t="s">
        <v>486</v>
      </c>
    </row>
    <row r="150" spans="1:10">
      <c r="A150" s="3" t="s">
        <v>559</v>
      </c>
      <c r="B150" s="3" t="s">
        <v>33</v>
      </c>
      <c r="C150" s="3" t="s">
        <v>560</v>
      </c>
      <c r="D150" s="3">
        <v>2</v>
      </c>
      <c r="E150" s="3" t="s">
        <v>22</v>
      </c>
      <c r="F150" s="3" t="s">
        <v>561</v>
      </c>
      <c r="G150" s="3"/>
      <c r="H150" s="3" t="s">
        <v>47</v>
      </c>
      <c r="I150" s="3" t="s">
        <v>48</v>
      </c>
      <c r="J150" s="3" t="s">
        <v>486</v>
      </c>
    </row>
    <row r="151" spans="1:10">
      <c r="A151" s="3" t="s">
        <v>562</v>
      </c>
      <c r="B151" s="3" t="s">
        <v>33</v>
      </c>
      <c r="C151" s="3" t="s">
        <v>563</v>
      </c>
      <c r="D151" s="3">
        <v>2</v>
      </c>
      <c r="E151" s="3" t="s">
        <v>22</v>
      </c>
      <c r="F151" s="3" t="s">
        <v>564</v>
      </c>
      <c r="G151" s="3"/>
      <c r="H151" s="3" t="s">
        <v>57</v>
      </c>
      <c r="I151" s="3" t="s">
        <v>48</v>
      </c>
      <c r="J151" s="3" t="s">
        <v>486</v>
      </c>
    </row>
    <row r="152" spans="1:10">
      <c r="A152" s="3" t="s">
        <v>565</v>
      </c>
      <c r="B152" s="3" t="s">
        <v>33</v>
      </c>
      <c r="C152" s="3" t="s">
        <v>566</v>
      </c>
      <c r="D152" s="3">
        <v>2</v>
      </c>
      <c r="E152" s="3" t="s">
        <v>22</v>
      </c>
      <c r="F152" s="3" t="s">
        <v>567</v>
      </c>
      <c r="G152" s="3"/>
      <c r="H152" s="3" t="s">
        <v>57</v>
      </c>
      <c r="I152" s="3" t="s">
        <v>48</v>
      </c>
      <c r="J152" s="3" t="s">
        <v>486</v>
      </c>
    </row>
    <row r="153" spans="1:10" ht="30">
      <c r="A153" s="2" t="s">
        <v>568</v>
      </c>
      <c r="B153" s="2" t="s">
        <v>34</v>
      </c>
      <c r="C153" s="2" t="s">
        <v>569</v>
      </c>
      <c r="D153" s="2">
        <v>0</v>
      </c>
      <c r="E153" s="2" t="s">
        <v>22</v>
      </c>
      <c r="F153" s="2" t="s">
        <v>570</v>
      </c>
      <c r="G153" s="2" t="s">
        <v>571</v>
      </c>
      <c r="H153" s="2" t="s">
        <v>47</v>
      </c>
      <c r="I153" s="2" t="s">
        <v>48</v>
      </c>
      <c r="J153" s="2" t="s">
        <v>572</v>
      </c>
    </row>
    <row r="154" spans="1:10">
      <c r="A154" s="3" t="s">
        <v>573</v>
      </c>
      <c r="B154" s="3" t="s">
        <v>34</v>
      </c>
      <c r="C154" s="3" t="s">
        <v>574</v>
      </c>
      <c r="D154" s="3">
        <v>1</v>
      </c>
      <c r="E154" s="3" t="s">
        <v>22</v>
      </c>
      <c r="F154" s="3" t="s">
        <v>575</v>
      </c>
      <c r="G154" s="3" t="s">
        <v>576</v>
      </c>
      <c r="H154" s="3" t="s">
        <v>47</v>
      </c>
      <c r="I154" s="3" t="s">
        <v>48</v>
      </c>
      <c r="J154" s="3" t="s">
        <v>572</v>
      </c>
    </row>
    <row r="155" spans="1:10">
      <c r="A155" s="3" t="s">
        <v>577</v>
      </c>
      <c r="B155" s="3" t="s">
        <v>34</v>
      </c>
      <c r="C155" s="3" t="s">
        <v>578</v>
      </c>
      <c r="D155" s="3">
        <v>2</v>
      </c>
      <c r="E155" s="3" t="s">
        <v>22</v>
      </c>
      <c r="F155" s="3" t="s">
        <v>579</v>
      </c>
      <c r="G155" s="3"/>
      <c r="H155" s="3" t="s">
        <v>47</v>
      </c>
      <c r="I155" s="3" t="s">
        <v>48</v>
      </c>
      <c r="J155" s="3" t="s">
        <v>572</v>
      </c>
    </row>
    <row r="156" spans="1:10">
      <c r="A156" s="3" t="s">
        <v>580</v>
      </c>
      <c r="B156" s="3" t="s">
        <v>34</v>
      </c>
      <c r="C156" s="3" t="s">
        <v>581</v>
      </c>
      <c r="D156" s="3">
        <v>2</v>
      </c>
      <c r="E156" s="3" t="s">
        <v>22</v>
      </c>
      <c r="F156" s="3" t="s">
        <v>582</v>
      </c>
      <c r="G156" s="3"/>
      <c r="H156" s="3" t="s">
        <v>47</v>
      </c>
      <c r="I156" s="3" t="s">
        <v>48</v>
      </c>
      <c r="J156" s="3" t="s">
        <v>572</v>
      </c>
    </row>
    <row r="157" spans="1:10">
      <c r="A157" s="3" t="s">
        <v>583</v>
      </c>
      <c r="B157" s="3" t="s">
        <v>34</v>
      </c>
      <c r="C157" s="3" t="s">
        <v>584</v>
      </c>
      <c r="D157" s="3">
        <v>2</v>
      </c>
      <c r="E157" s="3" t="s">
        <v>22</v>
      </c>
      <c r="F157" s="3" t="s">
        <v>585</v>
      </c>
      <c r="G157" s="3"/>
      <c r="H157" s="3" t="s">
        <v>57</v>
      </c>
      <c r="I157" s="3" t="s">
        <v>48</v>
      </c>
      <c r="J157" s="3" t="s">
        <v>572</v>
      </c>
    </row>
    <row r="158" spans="1:10">
      <c r="A158" s="3" t="s">
        <v>586</v>
      </c>
      <c r="B158" s="3" t="s">
        <v>34</v>
      </c>
      <c r="C158" s="3" t="s">
        <v>587</v>
      </c>
      <c r="D158" s="3">
        <v>2</v>
      </c>
      <c r="E158" s="3" t="s">
        <v>22</v>
      </c>
      <c r="F158" s="3" t="s">
        <v>588</v>
      </c>
      <c r="G158" s="3"/>
      <c r="H158" s="3" t="s">
        <v>57</v>
      </c>
      <c r="I158" s="3" t="s">
        <v>48</v>
      </c>
      <c r="J158" s="3" t="s">
        <v>572</v>
      </c>
    </row>
    <row r="159" spans="1:10">
      <c r="A159" s="3" t="s">
        <v>589</v>
      </c>
      <c r="B159" s="3" t="s">
        <v>34</v>
      </c>
      <c r="C159" s="3" t="s">
        <v>590</v>
      </c>
      <c r="D159" s="3">
        <v>2</v>
      </c>
      <c r="E159" s="3" t="s">
        <v>22</v>
      </c>
      <c r="F159" s="3" t="s">
        <v>591</v>
      </c>
      <c r="G159" s="3"/>
      <c r="H159" s="3" t="s">
        <v>47</v>
      </c>
      <c r="I159" s="3" t="s">
        <v>48</v>
      </c>
      <c r="J159" s="3" t="s">
        <v>572</v>
      </c>
    </row>
    <row r="160" spans="1:10">
      <c r="A160" s="3" t="s">
        <v>592</v>
      </c>
      <c r="B160" s="3" t="s">
        <v>34</v>
      </c>
      <c r="C160" s="3" t="s">
        <v>593</v>
      </c>
      <c r="D160" s="3">
        <v>2</v>
      </c>
      <c r="E160" s="3" t="s">
        <v>22</v>
      </c>
      <c r="F160" s="3" t="s">
        <v>594</v>
      </c>
      <c r="G160" s="3"/>
      <c r="H160" s="3" t="s">
        <v>76</v>
      </c>
      <c r="I160" s="3" t="s">
        <v>48</v>
      </c>
      <c r="J160" s="3" t="s">
        <v>572</v>
      </c>
    </row>
    <row r="161" spans="1:10">
      <c r="A161" s="3" t="s">
        <v>595</v>
      </c>
      <c r="B161" s="3" t="s">
        <v>34</v>
      </c>
      <c r="C161" s="3" t="s">
        <v>596</v>
      </c>
      <c r="D161" s="3">
        <v>2</v>
      </c>
      <c r="E161" s="3" t="s">
        <v>22</v>
      </c>
      <c r="F161" s="3" t="s">
        <v>597</v>
      </c>
      <c r="G161" s="3"/>
      <c r="H161" s="3" t="s">
        <v>47</v>
      </c>
      <c r="I161" s="3" t="s">
        <v>48</v>
      </c>
      <c r="J161" s="3" t="s">
        <v>572</v>
      </c>
    </row>
    <row r="162" spans="1:10">
      <c r="A162" s="3" t="s">
        <v>598</v>
      </c>
      <c r="B162" s="3" t="s">
        <v>34</v>
      </c>
      <c r="C162" s="3" t="s">
        <v>599</v>
      </c>
      <c r="D162" s="3">
        <v>2</v>
      </c>
      <c r="E162" s="3" t="s">
        <v>22</v>
      </c>
      <c r="F162" s="3" t="s">
        <v>600</v>
      </c>
      <c r="G162" s="3"/>
      <c r="H162" s="3" t="s">
        <v>57</v>
      </c>
      <c r="I162" s="3" t="s">
        <v>48</v>
      </c>
      <c r="J162" s="3" t="s">
        <v>572</v>
      </c>
    </row>
    <row r="163" spans="1:10">
      <c r="A163" s="3" t="s">
        <v>601</v>
      </c>
      <c r="B163" s="3" t="s">
        <v>34</v>
      </c>
      <c r="C163" s="3" t="s">
        <v>602</v>
      </c>
      <c r="D163" s="3">
        <v>2</v>
      </c>
      <c r="E163" s="3" t="s">
        <v>22</v>
      </c>
      <c r="F163" s="3" t="s">
        <v>603</v>
      </c>
      <c r="G163" s="3"/>
      <c r="H163" s="3" t="s">
        <v>57</v>
      </c>
      <c r="I163" s="3" t="s">
        <v>48</v>
      </c>
      <c r="J163" s="3" t="s">
        <v>572</v>
      </c>
    </row>
    <row r="164" spans="1:10">
      <c r="A164" s="3" t="s">
        <v>604</v>
      </c>
      <c r="B164" s="3" t="s">
        <v>34</v>
      </c>
      <c r="C164" s="3" t="s">
        <v>605</v>
      </c>
      <c r="D164" s="3">
        <v>2</v>
      </c>
      <c r="E164" s="3" t="s">
        <v>22</v>
      </c>
      <c r="F164" s="3" t="s">
        <v>606</v>
      </c>
      <c r="G164" s="3"/>
      <c r="H164" s="3" t="s">
        <v>57</v>
      </c>
      <c r="I164" s="3" t="s">
        <v>48</v>
      </c>
      <c r="J164" s="3" t="s">
        <v>572</v>
      </c>
    </row>
    <row r="165" spans="1:10">
      <c r="A165" s="3" t="s">
        <v>607</v>
      </c>
      <c r="B165" s="3" t="s">
        <v>34</v>
      </c>
      <c r="C165" s="3" t="s">
        <v>608</v>
      </c>
      <c r="D165" s="3">
        <v>2</v>
      </c>
      <c r="E165" s="3" t="s">
        <v>22</v>
      </c>
      <c r="F165" s="3" t="s">
        <v>609</v>
      </c>
      <c r="G165" s="3"/>
      <c r="H165" s="3" t="s">
        <v>47</v>
      </c>
      <c r="I165" s="3" t="s">
        <v>48</v>
      </c>
      <c r="J165" s="3" t="s">
        <v>572</v>
      </c>
    </row>
    <row r="166" spans="1:10">
      <c r="A166" s="3" t="s">
        <v>610</v>
      </c>
      <c r="B166" s="3" t="s">
        <v>34</v>
      </c>
      <c r="C166" s="3" t="s">
        <v>611</v>
      </c>
      <c r="D166" s="3">
        <v>2</v>
      </c>
      <c r="E166" s="3" t="s">
        <v>22</v>
      </c>
      <c r="F166" s="3" t="s">
        <v>612</v>
      </c>
      <c r="G166" s="3"/>
      <c r="H166" s="3" t="s">
        <v>57</v>
      </c>
      <c r="I166" s="3" t="s">
        <v>48</v>
      </c>
      <c r="J166" s="3" t="s">
        <v>572</v>
      </c>
    </row>
    <row r="167" spans="1:10">
      <c r="A167" s="3" t="s">
        <v>613</v>
      </c>
      <c r="B167" s="3" t="s">
        <v>34</v>
      </c>
      <c r="C167" s="3" t="s">
        <v>614</v>
      </c>
      <c r="D167" s="3">
        <v>2</v>
      </c>
      <c r="E167" s="3" t="s">
        <v>22</v>
      </c>
      <c r="F167" s="3" t="s">
        <v>615</v>
      </c>
      <c r="G167" s="3"/>
      <c r="H167" s="3" t="s">
        <v>57</v>
      </c>
      <c r="I167" s="3" t="s">
        <v>48</v>
      </c>
      <c r="J167" s="3" t="s">
        <v>572</v>
      </c>
    </row>
    <row r="168" spans="1:10">
      <c r="A168" s="3" t="s">
        <v>616</v>
      </c>
      <c r="B168" s="3" t="s">
        <v>34</v>
      </c>
      <c r="C168" s="3" t="s">
        <v>617</v>
      </c>
      <c r="D168" s="3">
        <v>1</v>
      </c>
      <c r="E168" s="3" t="s">
        <v>22</v>
      </c>
      <c r="F168" s="3" t="s">
        <v>618</v>
      </c>
      <c r="G168" s="3" t="s">
        <v>619</v>
      </c>
      <c r="H168" s="3" t="s">
        <v>47</v>
      </c>
      <c r="I168" s="3" t="s">
        <v>48</v>
      </c>
      <c r="J168" s="3" t="s">
        <v>572</v>
      </c>
    </row>
    <row r="169" spans="1:10">
      <c r="A169" s="3" t="s">
        <v>620</v>
      </c>
      <c r="B169" s="3" t="s">
        <v>34</v>
      </c>
      <c r="C169" s="3" t="s">
        <v>621</v>
      </c>
      <c r="D169" s="3">
        <v>2</v>
      </c>
      <c r="E169" s="3" t="s">
        <v>22</v>
      </c>
      <c r="F169" s="3" t="s">
        <v>622</v>
      </c>
      <c r="G169" s="3"/>
      <c r="H169" s="3" t="s">
        <v>47</v>
      </c>
      <c r="I169" s="3" t="s">
        <v>48</v>
      </c>
      <c r="J169" s="3" t="s">
        <v>572</v>
      </c>
    </row>
    <row r="170" spans="1:10" ht="28.5">
      <c r="A170" s="3" t="s">
        <v>623</v>
      </c>
      <c r="B170" s="3" t="s">
        <v>34</v>
      </c>
      <c r="C170" s="3" t="s">
        <v>624</v>
      </c>
      <c r="D170" s="3">
        <v>2</v>
      </c>
      <c r="E170" s="3" t="s">
        <v>22</v>
      </c>
      <c r="F170" s="3" t="s">
        <v>625</v>
      </c>
      <c r="G170" s="3"/>
      <c r="H170" s="3" t="s">
        <v>57</v>
      </c>
      <c r="I170" s="3" t="s">
        <v>48</v>
      </c>
      <c r="J170" s="3" t="s">
        <v>572</v>
      </c>
    </row>
    <row r="171" spans="1:10">
      <c r="A171" s="3" t="s">
        <v>626</v>
      </c>
      <c r="B171" s="3" t="s">
        <v>34</v>
      </c>
      <c r="C171" s="3" t="s">
        <v>627</v>
      </c>
      <c r="D171" s="3">
        <v>2</v>
      </c>
      <c r="E171" s="3" t="s">
        <v>22</v>
      </c>
      <c r="F171" s="3" t="s">
        <v>628</v>
      </c>
      <c r="G171" s="3"/>
      <c r="H171" s="3" t="s">
        <v>57</v>
      </c>
      <c r="I171" s="3" t="s">
        <v>48</v>
      </c>
      <c r="J171" s="3" t="s">
        <v>572</v>
      </c>
    </row>
    <row r="172" spans="1:10">
      <c r="A172" s="3" t="s">
        <v>629</v>
      </c>
      <c r="B172" s="3" t="s">
        <v>34</v>
      </c>
      <c r="C172" s="3" t="s">
        <v>630</v>
      </c>
      <c r="D172" s="3">
        <v>2</v>
      </c>
      <c r="E172" s="3" t="s">
        <v>22</v>
      </c>
      <c r="F172" s="3" t="s">
        <v>631</v>
      </c>
      <c r="G172" s="3"/>
      <c r="H172" s="3" t="s">
        <v>57</v>
      </c>
      <c r="I172" s="3" t="s">
        <v>48</v>
      </c>
      <c r="J172" s="3" t="s">
        <v>572</v>
      </c>
    </row>
    <row r="173" spans="1:10">
      <c r="A173" s="3" t="s">
        <v>632</v>
      </c>
      <c r="B173" s="3" t="s">
        <v>34</v>
      </c>
      <c r="C173" s="3" t="s">
        <v>633</v>
      </c>
      <c r="D173" s="3">
        <v>2</v>
      </c>
      <c r="E173" s="3" t="s">
        <v>22</v>
      </c>
      <c r="F173" s="3" t="s">
        <v>634</v>
      </c>
      <c r="G173" s="3"/>
      <c r="H173" s="3" t="s">
        <v>47</v>
      </c>
      <c r="I173" s="3" t="s">
        <v>48</v>
      </c>
      <c r="J173" s="3" t="s">
        <v>572</v>
      </c>
    </row>
    <row r="174" spans="1:10" ht="28.5">
      <c r="A174" s="3" t="s">
        <v>635</v>
      </c>
      <c r="B174" s="3" t="s">
        <v>34</v>
      </c>
      <c r="C174" s="3" t="s">
        <v>636</v>
      </c>
      <c r="D174" s="3">
        <v>2</v>
      </c>
      <c r="E174" s="3" t="s">
        <v>22</v>
      </c>
      <c r="F174" s="3" t="s">
        <v>637</v>
      </c>
      <c r="G174" s="3"/>
      <c r="H174" s="3" t="s">
        <v>47</v>
      </c>
      <c r="I174" s="3" t="s">
        <v>48</v>
      </c>
      <c r="J174" s="3" t="s">
        <v>572</v>
      </c>
    </row>
    <row r="175" spans="1:10">
      <c r="A175" s="3" t="s">
        <v>638</v>
      </c>
      <c r="B175" s="3" t="s">
        <v>34</v>
      </c>
      <c r="C175" s="3" t="s">
        <v>639</v>
      </c>
      <c r="D175" s="3">
        <v>2</v>
      </c>
      <c r="E175" s="3" t="s">
        <v>22</v>
      </c>
      <c r="F175" s="3" t="s">
        <v>640</v>
      </c>
      <c r="G175" s="3"/>
      <c r="H175" s="3" t="s">
        <v>47</v>
      </c>
      <c r="I175" s="3" t="s">
        <v>48</v>
      </c>
      <c r="J175" s="3" t="s">
        <v>572</v>
      </c>
    </row>
    <row r="176" spans="1:10" ht="28.5">
      <c r="A176" s="3" t="s">
        <v>641</v>
      </c>
      <c r="B176" s="3" t="s">
        <v>34</v>
      </c>
      <c r="C176" s="3" t="s">
        <v>642</v>
      </c>
      <c r="D176" s="3">
        <v>2</v>
      </c>
      <c r="E176" s="3" t="s">
        <v>22</v>
      </c>
      <c r="F176" s="3" t="s">
        <v>643</v>
      </c>
      <c r="G176" s="3"/>
      <c r="H176" s="3" t="s">
        <v>47</v>
      </c>
      <c r="I176" s="3" t="s">
        <v>48</v>
      </c>
      <c r="J176" s="3" t="s">
        <v>572</v>
      </c>
    </row>
    <row r="177" spans="1:10">
      <c r="A177" s="3" t="s">
        <v>644</v>
      </c>
      <c r="B177" s="3" t="s">
        <v>34</v>
      </c>
      <c r="C177" s="3" t="s">
        <v>645</v>
      </c>
      <c r="D177" s="3">
        <v>2</v>
      </c>
      <c r="E177" s="3" t="s">
        <v>22</v>
      </c>
      <c r="F177" s="3" t="s">
        <v>646</v>
      </c>
      <c r="G177" s="3"/>
      <c r="H177" s="3" t="s">
        <v>57</v>
      </c>
      <c r="I177" s="3" t="s">
        <v>48</v>
      </c>
      <c r="J177" s="3" t="s">
        <v>572</v>
      </c>
    </row>
    <row r="178" spans="1:10">
      <c r="A178" s="3" t="s">
        <v>647</v>
      </c>
      <c r="B178" s="3" t="s">
        <v>34</v>
      </c>
      <c r="C178" s="3" t="s">
        <v>648</v>
      </c>
      <c r="D178" s="3">
        <v>2</v>
      </c>
      <c r="E178" s="3" t="s">
        <v>22</v>
      </c>
      <c r="F178" s="3" t="s">
        <v>649</v>
      </c>
      <c r="G178" s="3"/>
      <c r="H178" s="3" t="s">
        <v>57</v>
      </c>
      <c r="I178" s="3" t="s">
        <v>48</v>
      </c>
      <c r="J178" s="3" t="s">
        <v>572</v>
      </c>
    </row>
    <row r="179" spans="1:10">
      <c r="A179" s="3" t="s">
        <v>650</v>
      </c>
      <c r="B179" s="3" t="s">
        <v>34</v>
      </c>
      <c r="C179" s="3" t="s">
        <v>651</v>
      </c>
      <c r="D179" s="3">
        <v>2</v>
      </c>
      <c r="E179" s="3" t="s">
        <v>22</v>
      </c>
      <c r="F179" s="3" t="s">
        <v>652</v>
      </c>
      <c r="G179" s="3"/>
      <c r="H179" s="3" t="s">
        <v>57</v>
      </c>
      <c r="I179" s="3" t="s">
        <v>48</v>
      </c>
      <c r="J179" s="3" t="s">
        <v>572</v>
      </c>
    </row>
    <row r="180" spans="1:10">
      <c r="A180" s="3" t="s">
        <v>653</v>
      </c>
      <c r="B180" s="3" t="s">
        <v>34</v>
      </c>
      <c r="C180" s="3" t="s">
        <v>654</v>
      </c>
      <c r="D180" s="3">
        <v>2</v>
      </c>
      <c r="E180" s="3" t="s">
        <v>22</v>
      </c>
      <c r="F180" s="3" t="s">
        <v>655</v>
      </c>
      <c r="G180" s="3"/>
      <c r="H180" s="3" t="s">
        <v>57</v>
      </c>
      <c r="I180" s="3" t="s">
        <v>48</v>
      </c>
      <c r="J180" s="3" t="s">
        <v>572</v>
      </c>
    </row>
    <row r="181" spans="1:10">
      <c r="A181" s="3" t="s">
        <v>656</v>
      </c>
      <c r="B181" s="3" t="s">
        <v>34</v>
      </c>
      <c r="C181" s="3" t="s">
        <v>657</v>
      </c>
      <c r="D181" s="3">
        <v>2</v>
      </c>
      <c r="E181" s="3" t="s">
        <v>22</v>
      </c>
      <c r="F181" s="3" t="s">
        <v>658</v>
      </c>
      <c r="G181" s="3"/>
      <c r="H181" s="3" t="s">
        <v>76</v>
      </c>
      <c r="I181" s="3" t="s">
        <v>48</v>
      </c>
      <c r="J181" s="3" t="s">
        <v>572</v>
      </c>
    </row>
    <row r="182" spans="1:10">
      <c r="A182" s="3" t="s">
        <v>659</v>
      </c>
      <c r="B182" s="3" t="s">
        <v>34</v>
      </c>
      <c r="C182" s="3" t="s">
        <v>660</v>
      </c>
      <c r="D182" s="3">
        <v>2</v>
      </c>
      <c r="E182" s="3" t="s">
        <v>22</v>
      </c>
      <c r="F182" s="3" t="s">
        <v>661</v>
      </c>
      <c r="G182" s="3"/>
      <c r="H182" s="3" t="s">
        <v>57</v>
      </c>
      <c r="I182" s="3" t="s">
        <v>48</v>
      </c>
      <c r="J182" s="3" t="s">
        <v>572</v>
      </c>
    </row>
    <row r="183" spans="1:10" ht="28.5">
      <c r="A183" s="3" t="s">
        <v>662</v>
      </c>
      <c r="B183" s="3" t="s">
        <v>34</v>
      </c>
      <c r="C183" s="3" t="s">
        <v>663</v>
      </c>
      <c r="D183" s="3">
        <v>1</v>
      </c>
      <c r="E183" s="3" t="s">
        <v>22</v>
      </c>
      <c r="F183" s="3" t="s">
        <v>664</v>
      </c>
      <c r="G183" s="3" t="s">
        <v>665</v>
      </c>
      <c r="H183" s="3" t="s">
        <v>57</v>
      </c>
      <c r="I183" s="3" t="s">
        <v>48</v>
      </c>
      <c r="J183" s="3" t="s">
        <v>572</v>
      </c>
    </row>
    <row r="184" spans="1:10" ht="28.5">
      <c r="A184" s="3" t="s">
        <v>666</v>
      </c>
      <c r="B184" s="3" t="s">
        <v>34</v>
      </c>
      <c r="C184" s="3" t="s">
        <v>667</v>
      </c>
      <c r="D184" s="3">
        <v>2</v>
      </c>
      <c r="E184" s="3" t="s">
        <v>22</v>
      </c>
      <c r="F184" s="3" t="s">
        <v>668</v>
      </c>
      <c r="G184" s="3"/>
      <c r="H184" s="3" t="s">
        <v>57</v>
      </c>
      <c r="I184" s="3" t="s">
        <v>48</v>
      </c>
      <c r="J184" s="3" t="s">
        <v>572</v>
      </c>
    </row>
    <row r="185" spans="1:10" ht="28.5">
      <c r="A185" s="3" t="s">
        <v>669</v>
      </c>
      <c r="B185" s="3" t="s">
        <v>34</v>
      </c>
      <c r="C185" s="3" t="s">
        <v>670</v>
      </c>
      <c r="D185" s="3">
        <v>2</v>
      </c>
      <c r="E185" s="3" t="s">
        <v>22</v>
      </c>
      <c r="F185" s="3" t="s">
        <v>671</v>
      </c>
      <c r="G185" s="3"/>
      <c r="H185" s="3" t="s">
        <v>76</v>
      </c>
      <c r="I185" s="3" t="s">
        <v>48</v>
      </c>
      <c r="J185" s="3" t="s">
        <v>572</v>
      </c>
    </row>
    <row r="186" spans="1:10" ht="28.5">
      <c r="A186" s="3" t="s">
        <v>672</v>
      </c>
      <c r="B186" s="3" t="s">
        <v>34</v>
      </c>
      <c r="C186" s="3" t="s">
        <v>673</v>
      </c>
      <c r="D186" s="3">
        <v>2</v>
      </c>
      <c r="E186" s="3" t="s">
        <v>22</v>
      </c>
      <c r="F186" s="3" t="s">
        <v>674</v>
      </c>
      <c r="G186" s="3"/>
      <c r="H186" s="3" t="s">
        <v>47</v>
      </c>
      <c r="I186" s="3" t="s">
        <v>48</v>
      </c>
      <c r="J186" s="3" t="s">
        <v>572</v>
      </c>
    </row>
  </sheetData>
  <conditionalFormatting sqref="E2:E186">
    <cfRule type="expression" dxfId="8" priority="1">
      <formula>$E2="🟢 Firme"</formula>
    </cfRule>
    <cfRule type="expression" dxfId="7" priority="2">
      <formula>$E2="🟢 Comprendido"</formula>
    </cfRule>
    <cfRule type="expression" dxfId="6" priority="3">
      <formula>$E2="🟡 Repasar"</formula>
    </cfRule>
    <cfRule type="expression" dxfId="5" priority="4">
      <formula>$E2="🟠 Iniciado"</formula>
    </cfRule>
    <cfRule type="expression" dxfId="4" priority="5">
      <formula>$E2="🟠 Parcial"</formula>
    </cfRule>
    <cfRule type="expression" dxfId="3" priority="6">
      <formula>$E2="⚪ Pendiente"</formula>
    </cfRule>
    <cfRule type="expression" dxfId="2" priority="7">
      <formula>$E2="🔴 Débil"</formula>
    </cfRule>
  </conditionalFormatting>
  <conditionalFormatting sqref="H2:H186">
    <cfRule type="expression" dxfId="1" priority="8">
      <formula>$H2="Muy alta"</formula>
    </cfRule>
    <cfRule type="expression" dxfId="0" priority="9">
      <formula>$H2="Alta"</formula>
    </cfRule>
  </conditionalFormatting>
  <dataValidations count="2">
    <dataValidation type="list" allowBlank="1" sqref="E2:E186" xr:uid="{00000000-0002-0000-0100-000000000000}">
      <formula1>"🟢 Firme,🟢 Comprendido,🟡 Repasar,🟠 Iniciado,🟠 Parcial,⚪ Pendiente,🔴 Débil"</formula1>
    </dataValidation>
    <dataValidation type="list" allowBlank="1" sqref="H2:H186" xr:uid="{00000000-0002-0000-0100-000001000000}">
      <formula1>"Baja,Media,Alta,Muy alta"</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Resumen</vt:lpstr>
      <vt:lpstr>Mapa de estudio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Lucas Tamara Trejo</cp:lastModifiedBy>
  <dcterms:created xsi:type="dcterms:W3CDTF">2026-09-27T13:08:15Z</dcterms:created>
  <dcterms:modified xsi:type="dcterms:W3CDTF">2026-10-04T02:44:28Z</dcterms:modified>
</cp:coreProperties>
</file>