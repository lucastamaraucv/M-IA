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cas Tamara\Desktop\M IA\RAZONAMIENTO APROXIMADO\SESIONES\ESTUDIO\"/>
    </mc:Choice>
  </mc:AlternateContent>
  <xr:revisionPtr revIDLastSave="0" documentId="13_ncr:1_{BD11225B-2F56-406E-B436-E5F6D673B7A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sumen" sheetId="1" r:id="rId1"/>
    <sheet name="Mapa de estudio" sheetId="2" r:id="rId2"/>
    <sheet name="Bayes 1.3" sheetId="3" r:id="rId3"/>
    <sheet name="Estad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F3" i="3"/>
  <c r="E3" i="3"/>
  <c r="D3" i="3"/>
  <c r="C3" i="3"/>
  <c r="F2" i="3"/>
  <c r="E2" i="3"/>
  <c r="D2" i="3"/>
  <c r="C2" i="3"/>
  <c r="N74" i="1"/>
  <c r="M74" i="1"/>
  <c r="L74" i="1"/>
  <c r="J74" i="1"/>
  <c r="K74" i="1" s="1"/>
  <c r="N73" i="1"/>
  <c r="M73" i="1"/>
  <c r="L73" i="1"/>
  <c r="J73" i="1"/>
  <c r="K73" i="1" s="1"/>
  <c r="N72" i="1"/>
  <c r="M72" i="1"/>
  <c r="L72" i="1"/>
  <c r="K72" i="1"/>
  <c r="J72" i="1"/>
  <c r="N71" i="1"/>
  <c r="M71" i="1"/>
  <c r="L71" i="1"/>
  <c r="K71" i="1"/>
  <c r="J71" i="1"/>
  <c r="N70" i="1"/>
  <c r="M70" i="1"/>
  <c r="L70" i="1"/>
  <c r="K70" i="1"/>
  <c r="J70" i="1"/>
  <c r="N69" i="1"/>
  <c r="M69" i="1"/>
  <c r="L69" i="1"/>
  <c r="J69" i="1"/>
  <c r="K69" i="1" s="1"/>
  <c r="N68" i="1"/>
  <c r="M68" i="1"/>
  <c r="L68" i="1"/>
  <c r="K68" i="1"/>
  <c r="J68" i="1"/>
  <c r="N67" i="1"/>
  <c r="M67" i="1"/>
  <c r="L67" i="1"/>
  <c r="J67" i="1"/>
  <c r="K67" i="1" s="1"/>
  <c r="N66" i="1"/>
  <c r="M66" i="1"/>
  <c r="L66" i="1"/>
  <c r="J66" i="1"/>
  <c r="K66" i="1" s="1"/>
  <c r="N65" i="1"/>
  <c r="M65" i="1"/>
  <c r="L65" i="1"/>
  <c r="J65" i="1"/>
  <c r="K65" i="1" s="1"/>
  <c r="N64" i="1"/>
  <c r="M64" i="1"/>
  <c r="L64" i="1"/>
  <c r="K64" i="1"/>
  <c r="J64" i="1"/>
  <c r="N63" i="1"/>
  <c r="M63" i="1"/>
  <c r="L63" i="1"/>
  <c r="J63" i="1"/>
  <c r="K63" i="1" s="1"/>
  <c r="N62" i="1"/>
  <c r="M62" i="1"/>
  <c r="L62" i="1"/>
  <c r="J62" i="1"/>
  <c r="K62" i="1" s="1"/>
  <c r="N61" i="1"/>
  <c r="M61" i="1"/>
  <c r="L61" i="1"/>
  <c r="J61" i="1"/>
  <c r="K61" i="1" s="1"/>
  <c r="N60" i="1"/>
  <c r="M60" i="1"/>
  <c r="L60" i="1"/>
  <c r="J60" i="1"/>
  <c r="K60" i="1" s="1"/>
  <c r="N59" i="1"/>
  <c r="M59" i="1"/>
  <c r="L59" i="1"/>
  <c r="J59" i="1"/>
  <c r="K59" i="1" s="1"/>
  <c r="N58" i="1"/>
  <c r="M58" i="1"/>
  <c r="L58" i="1"/>
  <c r="J58" i="1"/>
  <c r="K58" i="1" s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J55" i="1"/>
  <c r="K55" i="1" s="1"/>
  <c r="N54" i="1"/>
  <c r="M54" i="1"/>
  <c r="L54" i="1"/>
  <c r="J54" i="1"/>
  <c r="K54" i="1" s="1"/>
  <c r="N53" i="1"/>
  <c r="M53" i="1"/>
  <c r="L53" i="1"/>
  <c r="J53" i="1"/>
  <c r="K53" i="1" s="1"/>
  <c r="N52" i="1"/>
  <c r="M52" i="1"/>
  <c r="L52" i="1"/>
  <c r="J52" i="1"/>
  <c r="K52" i="1" s="1"/>
  <c r="N51" i="1"/>
  <c r="M51" i="1"/>
  <c r="L51" i="1"/>
  <c r="J51" i="1"/>
  <c r="K51" i="1" s="1"/>
  <c r="N50" i="1"/>
  <c r="M50" i="1"/>
  <c r="L50" i="1"/>
  <c r="K50" i="1"/>
  <c r="J50" i="1"/>
  <c r="N49" i="1"/>
  <c r="M49" i="1"/>
  <c r="L49" i="1"/>
  <c r="K49" i="1"/>
  <c r="J49" i="1"/>
  <c r="N48" i="1"/>
  <c r="M48" i="1"/>
  <c r="L48" i="1"/>
  <c r="J48" i="1"/>
  <c r="K48" i="1" s="1"/>
  <c r="G48" i="1"/>
  <c r="F48" i="1"/>
  <c r="E48" i="1"/>
  <c r="D48" i="1"/>
  <c r="C48" i="1"/>
  <c r="H48" i="1" s="1"/>
  <c r="B48" i="1"/>
  <c r="N47" i="1"/>
  <c r="M47" i="1"/>
  <c r="L47" i="1"/>
  <c r="J47" i="1"/>
  <c r="K47" i="1" s="1"/>
  <c r="G47" i="1"/>
  <c r="F47" i="1"/>
  <c r="E47" i="1"/>
  <c r="D47" i="1"/>
  <c r="C47" i="1"/>
  <c r="B47" i="1"/>
  <c r="N46" i="1"/>
  <c r="M46" i="1"/>
  <c r="L46" i="1"/>
  <c r="J46" i="1"/>
  <c r="K46" i="1" s="1"/>
  <c r="G46" i="1"/>
  <c r="F46" i="1"/>
  <c r="E46" i="1"/>
  <c r="D46" i="1"/>
  <c r="C46" i="1"/>
  <c r="H46" i="1" s="1"/>
  <c r="B46" i="1"/>
  <c r="N45" i="1"/>
  <c r="M45" i="1"/>
  <c r="L45" i="1"/>
  <c r="K45" i="1"/>
  <c r="J45" i="1"/>
  <c r="G45" i="1"/>
  <c r="F45" i="1"/>
  <c r="E45" i="1"/>
  <c r="D45" i="1"/>
  <c r="C45" i="1"/>
  <c r="H45" i="1" s="1"/>
  <c r="B45" i="1"/>
  <c r="N44" i="1"/>
  <c r="M44" i="1"/>
  <c r="L44" i="1"/>
  <c r="J44" i="1"/>
  <c r="K44" i="1" s="1"/>
  <c r="G44" i="1"/>
  <c r="F44" i="1"/>
  <c r="E44" i="1"/>
  <c r="D44" i="1"/>
  <c r="C44" i="1"/>
  <c r="H44" i="1" s="1"/>
  <c r="B44" i="1"/>
  <c r="N43" i="1"/>
  <c r="M43" i="1"/>
  <c r="L43" i="1"/>
  <c r="J43" i="1"/>
  <c r="K43" i="1" s="1"/>
  <c r="N42" i="1"/>
  <c r="M42" i="1"/>
  <c r="L42" i="1"/>
  <c r="K42" i="1"/>
  <c r="J42" i="1"/>
  <c r="N41" i="1"/>
  <c r="M41" i="1"/>
  <c r="L41" i="1"/>
  <c r="J41" i="1"/>
  <c r="K41" i="1" s="1"/>
  <c r="N40" i="1"/>
  <c r="M40" i="1"/>
  <c r="L40" i="1"/>
  <c r="J40" i="1"/>
  <c r="K40" i="1" s="1"/>
  <c r="N39" i="1"/>
  <c r="M39" i="1"/>
  <c r="L39" i="1"/>
  <c r="K39" i="1"/>
  <c r="J39" i="1"/>
  <c r="N38" i="1"/>
  <c r="M38" i="1"/>
  <c r="L38" i="1"/>
  <c r="J38" i="1"/>
  <c r="K38" i="1" s="1"/>
  <c r="N37" i="1"/>
  <c r="M37" i="1"/>
  <c r="L37" i="1"/>
  <c r="J37" i="1"/>
  <c r="K37" i="1" s="1"/>
  <c r="N36" i="1"/>
  <c r="M36" i="1"/>
  <c r="L36" i="1"/>
  <c r="J36" i="1"/>
  <c r="K36" i="1" s="1"/>
  <c r="N35" i="1"/>
  <c r="M35" i="1"/>
  <c r="L35" i="1"/>
  <c r="K35" i="1"/>
  <c r="J35" i="1"/>
  <c r="N34" i="1"/>
  <c r="M34" i="1"/>
  <c r="L34" i="1"/>
  <c r="J34" i="1"/>
  <c r="K34" i="1" s="1"/>
  <c r="N33" i="1"/>
  <c r="M33" i="1"/>
  <c r="L33" i="1"/>
  <c r="J33" i="1"/>
  <c r="K33" i="1" s="1"/>
  <c r="N32" i="1"/>
  <c r="M32" i="1"/>
  <c r="L32" i="1"/>
  <c r="J32" i="1"/>
  <c r="K32" i="1" s="1"/>
  <c r="N31" i="1"/>
  <c r="M31" i="1"/>
  <c r="L31" i="1"/>
  <c r="K31" i="1"/>
  <c r="J31" i="1"/>
  <c r="N30" i="1"/>
  <c r="M30" i="1"/>
  <c r="L30" i="1"/>
  <c r="K30" i="1"/>
  <c r="J30" i="1"/>
  <c r="N29" i="1"/>
  <c r="M29" i="1"/>
  <c r="L29" i="1"/>
  <c r="J29" i="1"/>
  <c r="K29" i="1" s="1"/>
  <c r="N28" i="1"/>
  <c r="M28" i="1"/>
  <c r="L28" i="1"/>
  <c r="K28" i="1"/>
  <c r="J28" i="1"/>
  <c r="N27" i="1"/>
  <c r="M27" i="1"/>
  <c r="L27" i="1"/>
  <c r="J27" i="1"/>
  <c r="K27" i="1" s="1"/>
  <c r="N26" i="1"/>
  <c r="M26" i="1"/>
  <c r="L26" i="1"/>
  <c r="J26" i="1"/>
  <c r="K26" i="1" s="1"/>
  <c r="N25" i="1"/>
  <c r="M25" i="1"/>
  <c r="L25" i="1"/>
  <c r="K25" i="1"/>
  <c r="J25" i="1"/>
  <c r="H17" i="1"/>
  <c r="G17" i="1"/>
  <c r="F17" i="1"/>
  <c r="E17" i="1"/>
  <c r="H16" i="1"/>
  <c r="G16" i="1"/>
  <c r="F16" i="1"/>
  <c r="E16" i="1"/>
  <c r="B16" i="1"/>
  <c r="H15" i="1"/>
  <c r="G15" i="1"/>
  <c r="F15" i="1"/>
  <c r="E15" i="1"/>
  <c r="B15" i="1"/>
  <c r="H14" i="1"/>
  <c r="G14" i="1"/>
  <c r="F14" i="1"/>
  <c r="E14" i="1"/>
  <c r="B14" i="1"/>
  <c r="H13" i="1"/>
  <c r="G13" i="1"/>
  <c r="F13" i="1"/>
  <c r="E13" i="1"/>
  <c r="B13" i="1"/>
  <c r="H12" i="1"/>
  <c r="G12" i="1"/>
  <c r="F12" i="1"/>
  <c r="E12" i="1"/>
  <c r="B12" i="1"/>
  <c r="H11" i="1"/>
  <c r="G11" i="1"/>
  <c r="F11" i="1"/>
  <c r="E11" i="1"/>
  <c r="B11" i="1"/>
  <c r="B10" i="1"/>
  <c r="G6" i="1"/>
  <c r="E6" i="1"/>
  <c r="C6" i="1"/>
  <c r="A6" i="1"/>
  <c r="B49" i="1" l="1"/>
  <c r="G49" i="1"/>
  <c r="D49" i="1"/>
  <c r="E49" i="1"/>
  <c r="H47" i="1"/>
  <c r="F49" i="1"/>
  <c r="C49" i="1"/>
  <c r="H49" i="1" s="1"/>
</calcChain>
</file>

<file path=xl/sharedStrings.xml><?xml version="1.0" encoding="utf-8"?>
<sst xmlns="http://schemas.openxmlformats.org/spreadsheetml/2006/main" count="1508" uniqueCount="608">
  <si>
    <t>Código</t>
  </si>
  <si>
    <t>Bloque</t>
  </si>
  <si>
    <t>Tema / concepto</t>
  </si>
  <si>
    <t>Nivel</t>
  </si>
  <si>
    <t>Estado</t>
  </si>
  <si>
    <t>Qué significa / evidencia actual</t>
  </si>
  <si>
    <t>Siguiente paso</t>
  </si>
  <si>
    <t>Prioridad</t>
  </si>
  <si>
    <t>Actualizado</t>
  </si>
  <si>
    <t>Fuente</t>
  </si>
  <si>
    <t>1</t>
  </si>
  <si>
    <t>1. Modelos clásicos de incertidumbre</t>
  </si>
  <si>
    <t>MODELOS CLÁSICOS DE INCERTIDUMBRE</t>
  </si>
  <si>
    <t>🟠 Iniciado</t>
  </si>
  <si>
    <t>Formas clásicas de manejar la duda: Bayes, Factores de Certeza y Dempster-Shafer.</t>
  </si>
  <si>
    <t>Completar Bayes y continuar con CF y Dempster-Shafer.</t>
  </si>
  <si>
    <t>Alta</t>
  </si>
  <si>
    <t>13/09/2026</t>
  </si>
  <si>
    <t>Mapa de estudio + resumen teórico</t>
  </si>
  <si>
    <t>1.1</t>
  </si>
  <si>
    <t>Qué es incertidumbre</t>
  </si>
  <si>
    <t>🟢 Comprendido</t>
  </si>
  <si>
    <t>Conceptualmente, es no tener información suficiente para saber con seguridad si algo es verdad. Ej: no sé si mi amigo llegará tarde; solo veo el tráfico.</t>
  </si>
  <si>
    <t>Baja</t>
  </si>
  <si>
    <t>1.1.a</t>
  </si>
  <si>
    <t>Información parcial / incompleta</t>
  </si>
  <si>
    <t>Conceptualmente, es una causa de la incertidumbre: faltan datos, así que no puedo estar seguro de la conclusión.</t>
  </si>
  <si>
    <t>1.1.b</t>
  </si>
  <si>
    <t>Duda sobre el hecho</t>
  </si>
  <si>
    <t>Conceptualmente, es dudar del hecho mismo: no sé si es verdadero, falso o si la fuente es confiable.</t>
  </si>
  <si>
    <t>1.1.c</t>
  </si>
  <si>
    <t>Idea clave</t>
  </si>
  <si>
    <t>Conceptualmente, es la frase que resume la incertidumbre: «no sé con suficiente certeza qué ocurre».</t>
  </si>
  <si>
    <t>1.2</t>
  </si>
  <si>
    <t>Incertidumbre vs. borrosidad</t>
  </si>
  <si>
    <t>🟢 Firme</t>
  </si>
  <si>
    <t>Conceptualmente, son dos problemas distintos: en la incertidumbre dudo si el hecho es verdad; en la borrosidad conozco el hecho, pero la categoría es gradual.</t>
  </si>
  <si>
    <t>1.2.a</t>
  </si>
  <si>
    <t>Incertidumbre</t>
  </si>
  <si>
    <t>Conceptualmente, es dudar de si el hecho es verdad. Ej: ¿lloverá mañana?</t>
  </si>
  <si>
    <t>1.2.b</t>
  </si>
  <si>
    <t>Borrosidad</t>
  </si>
  <si>
    <t>Conceptualmente, es conocer bien el dato pero que su categoría no tenga una frontera exacta. Ej: mide 1.75 m; ¿cuenta como «alto»?</t>
  </si>
  <si>
    <t>1.3</t>
  </si>
  <si>
    <t>Probabilidad Bayesiana</t>
  </si>
  <si>
    <t>Conceptualmente, es un método para actualizar lo que creo sobre una hipótesis cuando aparece evidencia nueva: creencia inicial → evidencia → creencia nueva.</t>
  </si>
  <si>
    <t>Seguir con P(e|h), P(e) y recién después construir el Teorema de Bayes.</t>
  </si>
  <si>
    <t>Resumen teórico: Probabilidad Bayesiana</t>
  </si>
  <si>
    <t>1.3.a</t>
  </si>
  <si>
    <t>h = hipótesis</t>
  </si>
  <si>
    <t>Conceptualmente, es la afirmación que quiero comprobar. Ej: «quien llama es mi amigo».</t>
  </si>
  <si>
    <t>Sesión 13/09/2026</t>
  </si>
  <si>
    <t>1.3.b</t>
  </si>
  <si>
    <t>e = evidencia</t>
  </si>
  <si>
    <t>Conceptualmente, es el dato nuevo que observo y que puede cambiar lo que creo sobre h. Ej: «se oye tráfico».</t>
  </si>
  <si>
    <t>1.3.c</t>
  </si>
  <si>
    <t>P(h) = probabilidad previa</t>
  </si>
  <si>
    <t>Conceptualmente, es cuánto creo en h antes de ver la evidencia e.</t>
  </si>
  <si>
    <t>1.3.d</t>
  </si>
  <si>
    <t>P(h|e) = probabilidad posterior</t>
  </si>
  <si>
    <t>Conceptualmente, es cuánto creo en h después de ver e (la barra «|» se lee «dado que»).</t>
  </si>
  <si>
    <t>1.3.e</t>
  </si>
  <si>
    <t>Relación previa → evidencia → posterior</t>
  </si>
  <si>
    <t>Conceptualmente, es el recorrido de mi creencia: parto de P(h), llega e y obtengo P(h|e).</t>
  </si>
  <si>
    <t>Verificación oral 13/09/2026</t>
  </si>
  <si>
    <t>1.3.f</t>
  </si>
  <si>
    <t>P(e|h) = verosimilitud</t>
  </si>
  <si>
    <t>Conceptualmente, es qué tan esperable sería ver la evidencia e si la hipótesis h fuera cierta. Ej: si llama mi amigo de la calle, oír tráfico es muy esperable.</t>
  </si>
  <si>
    <t>Explicarlo antes de usar la fórmula.</t>
  </si>
  <si>
    <t>1.3.g</t>
  </si>
  <si>
    <t>P(e) = probabilidad de la evidencia</t>
  </si>
  <si>
    <t>Conceptualmente, es qué tan común es ver la evidencia e en total (con h y sin h); sirve de divisor para que el resultado quede entre 0 y 1.</t>
  </si>
  <si>
    <t>Explicarlo junto con P(e|h) sin mezclar ambos.</t>
  </si>
  <si>
    <t>1.3.h</t>
  </si>
  <si>
    <t>Teorema de Bayes</t>
  </si>
  <si>
    <t>Conceptualmente, es la regla que calcula la creencia nueva: mi creencia inicial ajustada por qué tan esperable era la evidencia, dividida entre qué tan común es esa evidencia. Fórmula: P(h|e) = P(h)·P(e|h) / P(e).</t>
  </si>
  <si>
    <t>Construir la fórmula solo cuando cada término esté entendido.</t>
  </si>
  <si>
    <t>1.3.i</t>
  </si>
  <si>
    <t>Ejemplo con una evidencia</t>
  </si>
  <si>
    <t>Conceptualmente, es usar la fórmula de Bayes con números para ver cuánto cambia mi creencia en h cuando llega e. Cómo: P(h|e) = P(h)·P(e|h) / P(e). Ej (M = meningitis, S = síntoma): P(S|M)=0.5, P(M)=1/50.000, P(S)=1/20 → P(M|S) = 0.5·(1/50.000) / (1/20) = 0.0002.</t>
  </si>
  <si>
    <t>Resolver paso a paso.</t>
  </si>
  <si>
    <t>1.3.j</t>
  </si>
  <si>
    <t>Múltiples evidencias</t>
  </si>
  <si>
    <t>Conceptualmente, es hacer lo mismo con varias evidencias: cada una vuelve a mover la creencia y se combinan todas. Cómo: por cada hipótesis multiplico su P(h) por la P(e|h) de cada evidencia, y divido entre la suma de todas las hipótesis. Ej: h1 = inversor de alto riesgo, h2 = de bajo riesgo; P(h1)=0.3, P(h2)=0.7. e1 = soltero: P(e1|h1)=0.6, P(e1|h2)=0.4. e2 = ingresos altos: P(e2|h1)=0.2, P(e2|h2)=0.8. h1: 0.3·0.6·0.2 = 0.036; h2: 0.7·0.4·0.8 = 0.224 → P(h1|e1,e2) = 0.036 / (0.036+0.224) ≈ 0.14.</t>
  </si>
  <si>
    <t>Ver después de dominar Bayes básico.</t>
  </si>
  <si>
    <t>Media</t>
  </si>
  <si>
    <t>1.3.k</t>
  </si>
  <si>
    <t>Hipótesis exclusivas y exhaustivas</t>
  </si>
  <si>
    <t>Conceptualmente, es exigir que las hipótesis sean exclusivas (solo una es cierta) y exhaustivas (no falta ninguna), para que sus probabilidades sumen 1.</t>
  </si>
  <si>
    <t>Introducir al estudiar múltiples evidencias.</t>
  </si>
  <si>
    <t>1.3.l</t>
  </si>
  <si>
    <t>Limitaciones del enfoque probabilista</t>
  </si>
  <si>
    <t>Conceptualmente, son los límites de Bayes: necesita muchas probabilidades, muestras representativas e independencia, y obliga a que P(h)+P(no h)=1.</t>
  </si>
  <si>
    <t>Revisar al cerrar Bayes.</t>
  </si>
  <si>
    <t>1.4</t>
  </si>
  <si>
    <t>Factores de Certeza / MYCIN</t>
  </si>
  <si>
    <t>Conceptualmente, es un número entre -1 y 1 que dice cuánta confianza tengo en un hecho o regla, según un experto (1 = seguro que sí, -1 = seguro que no).</t>
  </si>
  <si>
    <t>Retomar después de Bayes.</t>
  </si>
  <si>
    <t>1.4.a</t>
  </si>
  <si>
    <t>Concepto de CF</t>
  </si>
  <si>
    <t>Conceptualmente, es un número que dice cuánta confianza tengo en un hecho o regla, según el juicio de un experto.</t>
  </si>
  <si>
    <t>1.4.b</t>
  </si>
  <si>
    <t>Confianza expresada numéricamente</t>
  </si>
  <si>
    <t>Conceptualmente, es una escala de -1 a 1: 1 = seguro que sí, 0 = sin información, -1 = seguro que no.</t>
  </si>
  <si>
    <t>1.4.c</t>
  </si>
  <si>
    <t>Combinación de CF positivos</t>
  </si>
  <si>
    <t>Conceptualmente, es una regla que refuerza mi confianza cuando dos pistas apuntan a la misma conclusión. Cómo: CF1 + CF2·(1−CF1). Ej: «viernes → tráfico» 0.8 y «llueve → tráfico» 0.7 → 0.8 + 0.7·(1−0.8) = 0.94.</t>
  </si>
  <si>
    <t>1.4.d</t>
  </si>
  <si>
    <t>Combinación de CF negativos</t>
  </si>
  <si>
    <t>Conceptualmente, es una regla que refuerza mi desconfianza cuando dos pistas apuntan en contra. Cómo: CF1 + CF2·(1+CF1). Ej: CF1 = -0.3 y CF2 = -0.4 → -0.3 + (-0.4)·(1−0.3) = -0.58.</t>
  </si>
  <si>
    <t>1.4.e</t>
  </si>
  <si>
    <t>Evidencias contradictorias</t>
  </si>
  <si>
    <t>Conceptualmente, es una regla que compensa una pista a favor con otra en contra. Cómo: (CF1+CF2) / (1 − menor valor absoluto). Ej: 0.8 y -0.4 → (0.8−0.4) / (1−0.4) = 0.4/0.6 ≈ 0.67.</t>
  </si>
  <si>
    <t>1.4.f</t>
  </si>
  <si>
    <t>AND → mínimo</t>
  </si>
  <si>
    <t>Conceptualmente, es una regla que dice que con «A y B» la confianza es la del dato más débil. Cómo: menor CF de las condiciones × CF de la regla. Ej: CF(A)=0.7 y CF(B)=0.2, regla 0.8 → min = 0.2 → 0.2·0.8 = 0.16.</t>
  </si>
  <si>
    <t>1.4.g</t>
  </si>
  <si>
    <t>OR → máximo</t>
  </si>
  <si>
    <t>Conceptualmente, es una regla que dice que con «A o B» basta el dato más confiable. Cómo: mayor CF de las condiciones × CF de la regla. Ej: CF(D)=0.3 y CF(F)=0.6, regla 0.4 → max = 0.6 → 0.6·0.4 = 0.24.</t>
  </si>
  <si>
    <t>1.4.h</t>
  </si>
  <si>
    <t>Encadenamiento de reglas</t>
  </si>
  <si>
    <t>Conceptualmente, es pasar la confianza de una regla a la siguiente: la conclusión de una sirve de dato para la otra. Cómo: se multiplica en cada regla. Ej: si la conclusión intermedia h quedó con CF 0.17 y la regla h→g tiene CF -0.7 → CF(g) = 0.17·(-0.7) ≈ -0.12.</t>
  </si>
  <si>
    <t>1.5</t>
  </si>
  <si>
    <t>Dempster-Shafer</t>
  </si>
  <si>
    <t>Conceptualmente, es una teoría que me deja no elegir una sola hipótesis: reparto mi creencia entre grupos de hipótesis o la dejo sin asignar («no sé»).</t>
  </si>
  <si>
    <t>Ver después de Factores de Certeza.</t>
  </si>
  <si>
    <t>1.5.a</t>
  </si>
  <si>
    <t>Marco de discernimiento</t>
  </si>
  <si>
    <t>Conceptualmente, es la lista de todas las respuestas posibles, de las que solo una es la cierta. Ej: {Bob, Jim, Sally}.</t>
  </si>
  <si>
    <t>1.5.b</t>
  </si>
  <si>
    <t>Masa m</t>
  </si>
  <si>
    <t>Conceptualmente, es una regla que reparte mi creencia total (que suma 1) entre grupos de hipótesis, sin partirla dentro de cada grupo. Ej: m({Bob})=0.3, m({Bob,Jim})=0.2, m(H)=0.5 (no sé).</t>
  </si>
  <si>
    <t>1.5.c</t>
  </si>
  <si>
    <t>Creencia BEL</t>
  </si>
  <si>
    <t>Conceptualmente, es lo mínimo que la evidencia ya garantiza a favor de una proposición S. Cómo: suma de masas de los grupos que caen dentro de S. Ej: con m({Bob})=0.3, m({Bob,Jim})=0.2, m(H)=0.5 (los demás grupos valen 0): BEL({Bob}) = 0.3; BEL({Bob,Jim}) = 0.3+0.2 = 0.5.</t>
  </si>
  <si>
    <t>1.5.d</t>
  </si>
  <si>
    <t>Plausibilidad PL</t>
  </si>
  <si>
    <t>Conceptualmente, es lo máximo que la evidencia todavía permite a favor de una proposición S (lo que nadie descarta). Cómo: suma de masas de los grupos que comparten alguna hipótesis con S. Ej: con las mismas masas: PL({Bob}) = 0.3+0.2+0.5 = 1; PL({Jim}) = 0.2+0.5 = 0.7.</t>
  </si>
  <si>
    <t>1.5.e</t>
  </si>
  <si>
    <t>Intervalo de creencia</t>
  </si>
  <si>
    <t>Conceptualmente, es el rango entre lo garantizado (BEL) y lo posible (PL) para decir cuánta duda queda. Ej: con m({Bob})=0.3, m({Bob,Jim})=0.2, m(H)=0.5: Bob → [0.3, 1]; el ancho (1−0.3 = 0.7) es la duda que queda.</t>
  </si>
  <si>
    <t>1.5.f</t>
  </si>
  <si>
    <t>Combinación de evidencias</t>
  </si>
  <si>
    <t>🟡 Repasar</t>
  </si>
  <si>
    <t>Conceptualmente, es una regla que mezcla dos fuentes de evidencia en una sola, quitando lo que se contradice. Cómo: multiplico cada masa de la fuente 1 por cada masa de la fuente 2. Si los dos grupos no comparten ninguna hipótesis, ese producto es CONFLICTO; los demás se suman por el grupo que tienen en común, y todo se divide entre 1 − conflicto. Ej (H = {Bob, Jim, Sally}): fuente 1: m1({Bob})=0.3, m1({Bob,Jim})=0.2, m1(H)=0.5. Fuente 2: m2({Jim})=0.6, m2(H)=0.4. Conflicto: {Bob} y {Jim} no comparten nada → 0.3·0.6 = 0.18. m3({Bob}) = (m1({Bob})·m2(H)) / (1−0.18) = 0.12/0.82 ≈ 0.146.</t>
  </si>
  <si>
    <t>2</t>
  </si>
  <si>
    <t>2. Fundamentos de lógica borrosa</t>
  </si>
  <si>
    <t>FUNDAMENTOS DE LÓGICA BORROSA</t>
  </si>
  <si>
    <t>Conjuntos con grados de pertenencia y sus operaciones: conjuntos borrosos, operadores y relaciones.</t>
  </si>
  <si>
    <t>Continuar cuando corresponda al orden del curso.</t>
  </si>
  <si>
    <t>2.1</t>
  </si>
  <si>
    <t>Qué problema resuelve</t>
  </si>
  <si>
    <t>Conceptualmente, sirve para trabajar con categorías sin frontera exacta (alto, joven) cuando el dato sí lo conozco.</t>
  </si>
  <si>
    <t>2.1.a</t>
  </si>
  <si>
    <t>Dato conocido + categoría gradual</t>
  </si>
  <si>
    <t>Conceptualmente, es que conocer el dato no elimina la borrosidad: sé que tiene 30 años, pero «joven» es gradual.</t>
  </si>
  <si>
    <t>2.2</t>
  </si>
  <si>
    <t>Fuzzy / difuso</t>
  </si>
  <si>
    <t>Conceptualmente, es un concepto al que se pertenece por grados, no solo sí o no. Ej: «joven».</t>
  </si>
  <si>
    <t>2.3</t>
  </si>
  <si>
    <t>Crisp / nítido</t>
  </si>
  <si>
    <t>Conceptualmente, es un concepto con frontera exacta: se pertenece o no. Ej: «mayor de edad».</t>
  </si>
  <si>
    <t>2.4</t>
  </si>
  <si>
    <t>Fuzzy vs. Crisp</t>
  </si>
  <si>
    <t>Conceptualmente, es la diferencia entre pertenecer sí o no (crisp) y pertenecer por grados (fuzzy: un poco, bastante).</t>
  </si>
  <si>
    <t>2.5</t>
  </si>
  <si>
    <t>Conjuntos borrosos</t>
  </si>
  <si>
    <t>Conceptualmente, es un conjunto donde cada elemento tiene un grado de pertenencia entre 0 y 1.</t>
  </si>
  <si>
    <t>Repasar con función de pertenencia.</t>
  </si>
  <si>
    <t>2.6</t>
  </si>
  <si>
    <t>Función de pertenencia μ</t>
  </si>
  <si>
    <t>Conceptualmente, es una regla que asigna a cada valor x un grado entre 0 y 1 para decir cuánto encaja en el conjunto (0 = nada, 1 = totalmente). Ej: en «joven» (20:0.8, 30:0.5, 40:0.2), μ(30) = 0.5.</t>
  </si>
  <si>
    <t>Practicar lectura de valores de pertenencia.</t>
  </si>
  <si>
    <t>2.7</t>
  </si>
  <si>
    <t>Grado de pertenencia</t>
  </si>
  <si>
    <t>Conceptualmente, es un número que dice qué tanto encaja algo en una categoría; no es una probabilidad.</t>
  </si>
  <si>
    <t>Verificar con ejemplos sin usar la palabra probabilidad.</t>
  </si>
  <si>
    <t>2.8</t>
  </si>
  <si>
    <t>Universo de discurso</t>
  </si>
  <si>
    <t>Conceptualmente, es el rango de valores posibles de la variable. Ej: edad de 0 a 100.</t>
  </si>
  <si>
    <t>2.9</t>
  </si>
  <si>
    <t>Soporte</t>
  </si>
  <si>
    <t>🔴 Débil</t>
  </si>
  <si>
    <t>Conceptualmente, es el conjunto de valores que cuentan aunque sea un poco (pertenencia mayor que 0). Ej: «joven» (edad:grado) = 5:1, 10:1, 20:0.8, 30:0.5, 40:0.2, 50:0.1, 60:0, 70:0, 80:0 → soporte = {5, 10, 20, 30, 40, 50}.</t>
  </si>
  <si>
    <t>2.10</t>
  </si>
  <si>
    <t>Núcleo</t>
  </si>
  <si>
    <t>🟠 Parcial</t>
  </si>
  <si>
    <t>Conceptualmente, es el conjunto de valores con la pertenencia más alta. Ej: «joven» (edad:grado) = 5:1, 10:1, 20:0.8, 30:0.5, 40:0.2, 50:0.1, 60:0, 70:0, 80:0 → núcleo = {5, 10} (grado 1).</t>
  </si>
  <si>
    <t>2.11</t>
  </si>
  <si>
    <t>Altura</t>
  </si>
  <si>
    <t>Conceptualmente, es el mayor grado de pertenencia que alcanza el conjunto. Ej: «mayor» (edad:grado) = 5:0, 10:0, 20:0.1, 30:0.2, 40:0.4, 50:0.6, 60:0.8, 70:1, 80:1 → altura = 1.</t>
  </si>
  <si>
    <t>2.12</t>
  </si>
  <si>
    <t>α-cortes</t>
  </si>
  <si>
    <t>Conceptualmente, es el conjunto de valores cuya pertenencia llega al menos a un umbral α que yo elijo (queda un conjunto sin grados). Ej: «joven» (edad:grado) = 5:1, 10:1, 20:0.8, 30:0.5, 40:0.2, 50:0.1, 60:0, 70:0, 80:0, α = 0.2 → {5, 10, 20, 30, 40}.</t>
  </si>
  <si>
    <t>2.13</t>
  </si>
  <si>
    <t>Cardinalidad</t>
  </si>
  <si>
    <t>Conceptualmente, es el «tamaño» del conjunto borroso: la suma de todos sus grados. Ej: «mayor» (edad:grado) = 5:0, 10:0, 20:0.1, 30:0.2, 40:0.4, 50:0.6, 60:0.8, 70:1, 80:1 → 0+0+0.1+0.2+0.4+0.6+0.8+1+1 = 4.1.</t>
  </si>
  <si>
    <t>2.14</t>
  </si>
  <si>
    <t>Operadores borrosos</t>
  </si>
  <si>
    <t>Conceptualmente, son las operaciones para combinar conjuntos borrosos: NO, Y (intersección), O (unión) y sus versiones generales (T-normas, T-conormas).</t>
  </si>
  <si>
    <t>2.14.a</t>
  </si>
  <si>
    <t>Complemento</t>
  </si>
  <si>
    <t>Conceptualmente, es el «no»: da el grado opuesto. Cómo: 1 − μ. Ej: 0.8 «joven» → 0.2 «no joven».</t>
  </si>
  <si>
    <t>2.14.b</t>
  </si>
  <si>
    <t>Unión / máximo</t>
  </si>
  <si>
    <t>Conceptualmente, es el «o»: gana el grado mayor. Ej: 0.3 y 0.7 → 0.7.</t>
  </si>
  <si>
    <t>2.14.c</t>
  </si>
  <si>
    <t>Intersección / mínimo</t>
  </si>
  <si>
    <t>Conceptualmente, es el «y»: manda el grado menor. Ej: 0.3 y 0.7 → 0.3.</t>
  </si>
  <si>
    <t>2.14.d</t>
  </si>
  <si>
    <t>T-normas</t>
  </si>
  <si>
    <t>Conceptualmente, son distintas formas de calcular el «y» borroso: mínimo, producto, Lukasiewicz, Yager.</t>
  </si>
  <si>
    <t>2.14.e</t>
  </si>
  <si>
    <t>T-conormas</t>
  </si>
  <si>
    <t>Conceptualmente, son distintas formas de calcular el «o» borroso: máximo, a+b−a·b, Lukasiewicz, Yager.</t>
  </si>
  <si>
    <t>2.15</t>
  </si>
  <si>
    <t>Principio de extensión</t>
  </si>
  <si>
    <t>Conceptualmente, es una regla que aplica una función normal (x→y) a un conjunto borroso: cada resultado hereda el grado de su origen (con varios orígenes, el mayor). Ej: 0.3/a+0.9/b+0.5/c con a→p, b→q, c→p → 0.5/p+0.9/q.</t>
  </si>
  <si>
    <t>2.16</t>
  </si>
  <si>
    <t>Relaciones borrosas</t>
  </si>
  <si>
    <t>Conceptualmente, es una regla que asigna un grado entre 0 y 1 a cada par de elementos para decir qué tan fuerte es su relación. Ej: qué tan cerca están dos ciudades.</t>
  </si>
  <si>
    <t>2.16.a</t>
  </si>
  <si>
    <t>Relación difusa</t>
  </si>
  <si>
    <t>Conceptualmente, es la tabla que guarda el grado de cada par (x, y), de 0 a 1.</t>
  </si>
  <si>
    <t>2.16.b</t>
  </si>
  <si>
    <t>Composición max-min</t>
  </si>
  <si>
    <t>Conceptualmente, es una regla que combina dos relaciones pasando por un paso intermedio y se queda con el mejor camino, donde cada camino vale lo de su tramo más débil. Cómo: entre caminos, el mayor de los menores. Ej: P(x,y1)=0.6, P(x,y2)=0.9; Q(y1,z)=0.5, Q(y2,z)=0.3 → max( min(0.6,0.5), min(0.9,0.3) ) = max(0.5, 0.3) = 0.5.</t>
  </si>
  <si>
    <t>2.16.c</t>
  </si>
  <si>
    <t>Composición max-producto</t>
  </si>
  <si>
    <t>Conceptualmente, es igual que max-min, pero cada camino vale el producto de sus tramos. Ej: P(x,y1)=0.6, P(x,y2)=0.9; Q(y1,z)=0.5, Q(y2,z)=0.3 → max( 0.6·0.5, 0.9·0.3 ) = max(0.30, 0.27) = 0.30.</t>
  </si>
  <si>
    <t>3</t>
  </si>
  <si>
    <t>3. Razonamiento aproximado</t>
  </si>
  <si>
    <t>RAZONAMIENTO APROXIMADO</t>
  </si>
  <si>
    <t>Sacar conclusiones con reglas y hechos aproximados (Modus Ponens Generalizado).</t>
  </si>
  <si>
    <t>Avanzar en el orden del material.</t>
  </si>
  <si>
    <t>3.1</t>
  </si>
  <si>
    <t>Qué significa razonar aproximadamente</t>
  </si>
  <si>
    <t>Conceptualmente, es sacar una conclusión útil aunque el hecho solo se parezca a la condición de la regla.</t>
  </si>
  <si>
    <t>3.1.a</t>
  </si>
  <si>
    <t>Coincidencia parcial → conclusión</t>
  </si>
  <si>
    <t>Conceptualmente, es no exigir coincidencia exacta: si el hecho se parece, la conclusión se activa en parte.</t>
  </si>
  <si>
    <t>3.2</t>
  </si>
  <si>
    <t>Inferencia</t>
  </si>
  <si>
    <t>Conceptualmente, es usar reglas ya establecidas sobre una entrada para obtener una conclusión.</t>
  </si>
  <si>
    <t>3.2.a</t>
  </si>
  <si>
    <t>Conocimiento ya establecido</t>
  </si>
  <si>
    <t>Conceptualmente, son las reglas o datos que ya tengo antes de razonar.</t>
  </si>
  <si>
    <t>3.2.b</t>
  </si>
  <si>
    <t>Entrada</t>
  </si>
  <si>
    <t>Conceptualmente, es el dato observado que activa las reglas.</t>
  </si>
  <si>
    <t>3.2.c</t>
  </si>
  <si>
    <t>Proceso de inferencia</t>
  </si>
  <si>
    <t>Conceptualmente, es el mecanismo que aplica las reglas a la entrada.</t>
  </si>
  <si>
    <t>3.2.d</t>
  </si>
  <si>
    <t>Conclusión / salida</t>
  </si>
  <si>
    <t>Conceptualmente, es el resultado de aplicar las reglas a la entrada.</t>
  </si>
  <si>
    <t>3.3</t>
  </si>
  <si>
    <t>Inferencia vs. aprendizaje</t>
  </si>
  <si>
    <t>Conceptualmente, es la diferencia entre inferir (usar el conocimiento que ya tengo) y aprender (cambiarlo).</t>
  </si>
  <si>
    <t>3.3.a</t>
  </si>
  <si>
    <t>Aprendizaje</t>
  </si>
  <si>
    <t>Conceptualmente, es modificar el conocimiento (parámetros, pesos) a partir de datos.</t>
  </si>
  <si>
    <t>3.3.b</t>
  </si>
  <si>
    <t>Conceptualmente, es usar el conocimiento tal cual está, sin entrenarlo.</t>
  </si>
  <si>
    <t>3.4</t>
  </si>
  <si>
    <t>Reglas lingüísticas</t>
  </si>
  <si>
    <t>Conceptualmente, es una regla escrita con palabras: «si x es A entonces y es B».</t>
  </si>
  <si>
    <t>Formalizar su uso en razonamiento borroso.</t>
  </si>
  <si>
    <t>3.4.a</t>
  </si>
  <si>
    <t>SI A → ENTONCES B</t>
  </si>
  <si>
    <t>Conceptualmente, es la estructura de la regla: SI (condición) ENTONCES (conclusión).</t>
  </si>
  <si>
    <t>3.5</t>
  </si>
  <si>
    <t>Modificadores / hedges</t>
  </si>
  <si>
    <t>Conceptualmente, son palabras que cambian la intensidad de una etiqueta: «muy alto», «más o menos alto», «no alto».</t>
  </si>
  <si>
    <t>Estudiar cada hedge con la curva.</t>
  </si>
  <si>
    <t>3.5.a</t>
  </si>
  <si>
    <t>muy</t>
  </si>
  <si>
    <t>Conceptualmente, es un modificador que exige más a la etiqueta. Cómo: μ al cuadrado. Ej: si μ_alto(1.80 m) = 0.8 → «muy alto» = 0.8² = 0.64.</t>
  </si>
  <si>
    <t>Formalizar su transformación matemática.</t>
  </si>
  <si>
    <t>3.5.b</t>
  </si>
  <si>
    <t>más o menos</t>
  </si>
  <si>
    <t>Conceptualmente, es un modificador que exige menos a la etiqueta. Cómo: raíz cuadrada de μ. Ej: si μ_alto(1.80 m) = 0.8 → «más o menos alto» = √0.8 ≈ 0.89.</t>
  </si>
  <si>
    <t>3.5.c</t>
  </si>
  <si>
    <t>no</t>
  </si>
  <si>
    <t>Conceptualmente, es un modificador que da lo contrario de la etiqueta. Cómo: 1 − μ. Ej: si μ_alto(1.80 m) = 0.8 → «no alto» = 1 − 0.8 = 0.2.</t>
  </si>
  <si>
    <t>3.6</t>
  </si>
  <si>
    <t>Modus Ponens Generalizado</t>
  </si>
  <si>
    <t>Conceptualmente, es una regla que, con un hecho que solo se parece a la condición (A' ≈ A), da una conclusión que también solo se parece a la original (B' ≈ B).</t>
  </si>
  <si>
    <t>3.6.a</t>
  </si>
  <si>
    <t>A = antecedente esperado</t>
  </si>
  <si>
    <t>Conceptualmente, es la condición que la regla espera ver. Ej: «temperatura alta».</t>
  </si>
  <si>
    <t>3.6.b</t>
  </si>
  <si>
    <t>A' = antecedente observado</t>
  </si>
  <si>
    <t>Conceptualmente, es lo que realmente observo, que puede parecerse a A sin ser igual. Ej: «bastante alta».</t>
  </si>
  <si>
    <t>3.6.c</t>
  </si>
  <si>
    <t>B = consecuente original</t>
  </si>
  <si>
    <t>Conceptualmente, es la conclusión original de la regla. Ej: «ventilador fuerte».</t>
  </si>
  <si>
    <t>3.6.d</t>
  </si>
  <si>
    <t>B' = consecuente inferido</t>
  </si>
  <si>
    <t>Conceptualmente, es la conclusión que obtengo para el hecho observado A' (B' = A' ∘ R).</t>
  </si>
  <si>
    <t>3.7</t>
  </si>
  <si>
    <t>Implicaciones borrosas</t>
  </si>
  <si>
    <t>Conceptualmente, son fórmulas que convierten «si A entonces B» en una relación numérica R(x, y) = I(A(x), B(y)) para poder calcular con ella. Hay tres familias: S, R y QL.</t>
  </si>
  <si>
    <t>3.7.a</t>
  </si>
  <si>
    <t>S-implicaciones</t>
  </si>
  <si>
    <t>Conceptualmente, es una forma de convertir «si A entonces B» en números usando el «no» y el «o». Cómo: I(a, b) = O(no a, b). Ej con a = 0.5, b = 0.4: Kleene-Dienes max(1−a, b) = max(0.5, 0.4) = 0.5; Lukasiewicz min(1−a+b, 1) = 0.9.</t>
  </si>
  <si>
    <t>3.7.b</t>
  </si>
  <si>
    <t>R-implicaciones</t>
  </si>
  <si>
    <t>Conceptualmente, es una forma de convertir «si A entonces B» en números dando el mayor valor x tal que «a y x» no supere b. Ej con a = 0.5, b = 0.4: Gödel (1 si a≤b, si no b) = 0.4; Goguen (1 si a≤b, si no b/a) = 0.4/0.5 = 0.8.</t>
  </si>
  <si>
    <t>3.7.c</t>
  </si>
  <si>
    <t>QL-implicaciones</t>
  </si>
  <si>
    <t>Conceptualmente, es una forma de convertir «si A entonces B» en números mezclando el «no a» con el «y» entre a y b. Cómo: I(a, b) = O(no a, Y(a, b)). Ej con a = 0.5, b = 0.4: Early-Zadeh max(1−a, min(a,b)) = max(0.5, 0.4) = 0.5; Klir-Yuan 1−a+a²b = 0.5+0.1 = 0.6.</t>
  </si>
  <si>
    <t>3.8</t>
  </si>
  <si>
    <t>Modus Tollens Generalizado</t>
  </si>
  <si>
    <t>Conceptualmente, es razonar al revés: dado B', deducir qué A' es compatible.</t>
  </si>
  <si>
    <t>3.9</t>
  </si>
  <si>
    <t>Tipos de proposiciones borrosas</t>
  </si>
  <si>
    <t>Conceptualmente, son las formas de afirmar algo en lógica borrosa: simple («x es A») o con regla («si x es A entonces y es B»); cualquiera puede llevar un grado de certeza extra.</t>
  </si>
  <si>
    <t>4</t>
  </si>
  <si>
    <t>4. Control borroso</t>
  </si>
  <si>
    <t>CONTROL BORROSO</t>
  </si>
  <si>
    <t>Controlar sistemas con reglas borrosas: Mamdani, Sugeno y desborrosificación.</t>
  </si>
  <si>
    <t>Retomar COG/MOM después del bloque que se esté estudiando.</t>
  </si>
  <si>
    <t>4.1</t>
  </si>
  <si>
    <t>Idea general</t>
  </si>
  <si>
    <t>Conceptualmente, es una salida que cambia poco a poco según qué tan activas están las reglas, en vez de todo o nada. Ej (péndulo del curso): cuanto más se inclina el péndulo (ángulo θ), más fuerza F se aplica para corregirlo, de forma gradual.</t>
  </si>
  <si>
    <t>4.1.a</t>
  </si>
  <si>
    <t>Grados → ajustes graduales</t>
  </si>
  <si>
    <t>Conceptualmente, es que la acción varía suavemente con los grados, sin umbrales rígidos. Ej (péndulo del curso): θ = 36° activa «positivo pequeño» en 0.4 y «positivo medio» en 0.6, así que la fuerza sale entre las dos etiquetas (resultado final: F = 3.9).</t>
  </si>
  <si>
    <t>4.2</t>
  </si>
  <si>
    <t>Arquitectura completa</t>
  </si>
  <si>
    <t>Conceptualmente, es la secuencia completa del controlador: medida → borrosificar → reglas → salida borrosa → desborrosificar → acción. Ej (péndulo del curso): θ = 36° y θ̇ = -2.25°/s → grados (0.4, 0.6, 0.8) → reglas R1 y R2 → curva de salida → F = 3.9.</t>
  </si>
  <si>
    <t>4.2.a</t>
  </si>
  <si>
    <t>Entrada nítida</t>
  </si>
  <si>
    <t>Conceptualmente, es el número medido tal cual. Ej (péndulo del curso): θ = 36° (ángulo del péndulo) y θ̇ = -2.25°/s (qué tan rápido cambia el ángulo).</t>
  </si>
  <si>
    <t>4.2.b</t>
  </si>
  <si>
    <t>Borrosificación</t>
  </si>
  <si>
    <t>Conceptualmente, es convertir ese número en grados de pertenencia a cada etiqueta. Ej (péndulo del curso): θ = 36° → «positivo pequeño» 0.4 y «positivo medio» 0.6; θ̇ = -2.25°/s → «aproximadamente cero» 0.8. Cómo se lee la curva: «positivo pequeño» vale 1 en 22.5° y baja a 0 en 45°, así que en 36° vale 1 − (36−22.5)/22.5 = 0.4; «positivo medio» sube de 0 en 22.5° a 1 en 45°, así que en 36° vale (36−22.5)/22.5 = 0.6; «aprox. cero» vale 1 en 0 y 0 en ±11.25, así que en -2.25 vale 1 − 2.25/11.25 = 0.8.</t>
  </si>
  <si>
    <t>4.2.c</t>
  </si>
  <si>
    <t>Reglas / inferencia</t>
  </si>
  <si>
    <t>Conceptualmente, es evaluar cada regla usando esos grados. Ej (péndulo del curso): R1 «si θ es positivo pequeño (0.4) y θ̇ es aprox. cero (0.8) → F es positivo pequeño»; R2 «si θ es positivo medio (0.6) y θ̇ es aprox. cero (0.8) → F es positivo medio».</t>
  </si>
  <si>
    <t>4.2.d</t>
  </si>
  <si>
    <t>Salida borrosa</t>
  </si>
  <si>
    <t>⚪ Pendiente</t>
  </si>
  <si>
    <t>Conceptualmente, es el resultado combinado de todas las reglas, todavía como curva y no como número. Ej (péndulo del curso): la curva de F vale 0.4 entre x = 1 y x = 3.5, sube a 0.6 en x = 4, se mantiene en 0.6 hasta x = 6 y baja a 0 en x = 7.5.</t>
  </si>
  <si>
    <t>4.2.e</t>
  </si>
  <si>
    <t>Desborrosificación</t>
  </si>
  <si>
    <t>Conceptualmente, es convertir esa curva en un solo número. Ej (péndulo del curso): la curva de F da 3.9 con centro de gravedad (o 5 con media de máximos).</t>
  </si>
  <si>
    <t>4.2.f</t>
  </si>
  <si>
    <t>Acción concreta</t>
  </si>
  <si>
    <t>Conceptualmente, es el número final que se aplica al sistema. Ej (péndulo del curso): F = 3.9 es la fuerza que se aplica al péndulo.</t>
  </si>
  <si>
    <t>4.3</t>
  </si>
  <si>
    <t>Mamdani</t>
  </si>
  <si>
    <t>Conceptualmente, es un controlador donde la conclusión de cada regla es una etiqueta borrosa, por lo que al final hay que desborrosificar. Ej (péndulo del curso): R1 y R2 concluyen «F es positivo pequeño» y «F es positivo medio» (etiquetas, no números), por eso hace falta pasar la curva a un número.</t>
  </si>
  <si>
    <t>4.3.a</t>
  </si>
  <si>
    <t>Reglas</t>
  </si>
  <si>
    <t>Conceptualmente, son las reglas del controlador, con etiquetas borrosas en las condiciones y en la conclusión. Ej (péndulo del curso): R1 «Si θ es positivo pequeño y θ̇ es aprox. cero, entonces F es positivo pequeño»; R2 «Si θ es positivo medio y θ̇ es aprox. cero, entonces F es positivo medio».</t>
  </si>
  <si>
    <t>4.3.b</t>
  </si>
  <si>
    <t>Grado de aplicabilidad α</t>
  </si>
  <si>
    <t>Conceptualmente, es un número de 0 a 1 que dice qué tan activa está la regla; con «y», es el mínimo de los grados de sus condiciones. Ej (péndulo del curso): R1 → α1 = min(0.4 de θ, 0.8 de θ̇) = 0.4; R2 → α2 = min(0.6 de θ, 0.8 de θ̇) = 0.6.</t>
  </si>
  <si>
    <t>4.3.c</t>
  </si>
  <si>
    <t>Recorte de consecuentes</t>
  </si>
  <si>
    <t>Conceptualmente, es cortar la conclusión de la regla a la altura α, para que no supere qué tan activa está la regla. Ej (péndulo del curso): R1 corta «F positivo pequeño» (triángulo de 0 a 5, pico en 2.5) a 0.4 → techo plano de 0.4 entre x = 1 y x = 4; R2 corta «F positivo medio» (triángulo de 2.5 a 7.5, pico en 5) a 0.6 → techo plano de 0.6 entre x = 4 y x = 6.</t>
  </si>
  <si>
    <t>4.3.d</t>
  </si>
  <si>
    <t>Agregación por máximo</t>
  </si>
  <si>
    <t>Conceptualmente, es combinar las salidas recortadas de las reglas activas quedándome con el máximo. Ej (péndulo del curso): se superponen las dos curvas recortadas y en cada x se toma la mayor: 0.4 entre x = 1 y x = 3.5, sube a 0.6 en x = 4, se mantiene hasta x = 6 y baja a 0 en x = 7.5.</t>
  </si>
  <si>
    <t>4.4</t>
  </si>
  <si>
    <t>Conceptualmente, es convertir una salida borrosa en un solo número. Ej (péndulo del curso): la curva de F (puntos 1, 3.5, 4, 6, 7.5) pasa a ser un número: 3.9 (centro de gravedad), 5 (media de máximos) o cualquiera en [4, 6] (criterio del máximo).</t>
  </si>
  <si>
    <t>4.4.a</t>
  </si>
  <si>
    <t>Salida difusa → valor concreto</t>
  </si>
  <si>
    <t>Conceptualmente, es pasar de una curva a un número utilizable. Ej (péndulo del curso): de la curva de F al valor 3.9.</t>
  </si>
  <si>
    <t>4.5</t>
  </si>
  <si>
    <t>Centro de Gravedad / COG</t>
  </si>
  <si>
    <t>Conceptualmente, es el punto de equilibrio de toda la curva de salida. Ej (péndulo del curso): F = 3.9.</t>
  </si>
  <si>
    <t>Practicar cálculo de COG.</t>
  </si>
  <si>
    <t>4.5.a</t>
  </si>
  <si>
    <t>Intuición COG</t>
  </si>
  <si>
    <t>Conceptualmente, es el punto de equilibrio del área: pesa más donde hay más pertenencia. Ej (péndulo del curso): sale 3.9. El tramo alto (0.6) está entre x = 4 y x = 6, pero el tramo bajo (0.4, de x = 1 a 3.5) también cuenta y jala el equilibrio hacia la izquierda, por eso queda por debajo de 4.</t>
  </si>
  <si>
    <t>4.5.b</t>
  </si>
  <si>
    <t>Cálculo COG</t>
  </si>
  <si>
    <t>Conceptualmente, es el promedio de las posiciones x pesando cada una por su grado. Cómo: Σ(x·grado) / Σ grado. Ej (péndulo del curso) (el curso usa los 4 puntos de la curva): x = 1 y x = 3.5 con grado 0.4, x = 4 y x = 6 con grado 0.6 → (0.4·1 + 0.4·3.5 + 0.6·4 + 0.6·6) / (0.4+0.4+0.6+0.6) = 7.8 / 2.0 = 3.9.</t>
  </si>
  <si>
    <t>4.6</t>
  </si>
  <si>
    <t>Criterio del máximo</t>
  </si>
  <si>
    <t>Conceptualmente, es elegir un valor donde la curva llega a su punto más alto; puede haber varios. Ej (péndulo del curso): el máximo es 0.6 y se alcanza entre x = 4 y x = 6, así que sirve cualquier valor de [4, 6].</t>
  </si>
  <si>
    <t>4.7</t>
  </si>
  <si>
    <t>Media de Máximos / MOM</t>
  </si>
  <si>
    <t>Conceptualmente, es el promedio de los valores donde la curva llega al máximo, ignorando el resto. Ej (péndulo del curso): el máximo (0.6) está entre x = 4 y x = 6 → F = 5.</t>
  </si>
  <si>
    <t>Calcular promedio de coordenadas x que alcanzan el máximo.</t>
  </si>
  <si>
    <t>4.7.a</t>
  </si>
  <si>
    <t>Intuición MOM</t>
  </si>
  <si>
    <t>Conceptualmente, es mirar solo los puntos más altos de la curva. Ej (péndulo del curso): solo cuenta el tramo de x = 4 a x = 6 (grado 0.6); el tramo de 0.4 se ignora.</t>
  </si>
  <si>
    <t>Cerrar verificación conceptual.</t>
  </si>
  <si>
    <t>4.7.b</t>
  </si>
  <si>
    <t>Cálculo MOM</t>
  </si>
  <si>
    <t>Conceptualmente, es el promedio de las posiciones donde la curva es más alta. Ej (péndulo del curso): el máximo (0.6) se alcanza entre x = 4 y x = 6 → (4 + 6) / 2 = 5.</t>
  </si>
  <si>
    <t>4.8</t>
  </si>
  <si>
    <t>Comparación COG vs. MOM</t>
  </si>
  <si>
    <t>Conceptualmente, es comparar COG y MOM: COG usa toda la curva (más suave, más costoso); MOM solo los máximos (más simple). Ej (péndulo del curso): COG da 3.9 (usa el tramo de 0.4 y el de 0.6) y MOM da 5 (solo usa el tramo de 0.6).</t>
  </si>
  <si>
    <t>4.9</t>
  </si>
  <si>
    <t>Takagi-Sugeno</t>
  </si>
  <si>
    <t>Conceptualmente, es un controlador donde la salida sale directo de una fórmula de las entradas, ponderada por cuánto se activa cada regla. Cómo: h = Σ(α·f) / Σα. Ej (coche que sortea una curva, otro ejemplo del curso; entradas δ1=10, δ2=30, δ3=0, δ4=50): solo se activan la regla 4 (α = 1/4, f = 1.873) y la regla 7 (α = 1/6, f = 2.820) → h = (1/4·1.873 + 1/6·2.820) / (1/4+1/6) = 2.2518.</t>
  </si>
  <si>
    <t>4.10</t>
  </si>
  <si>
    <t>Mamdani vs. Sugeno</t>
  </si>
  <si>
    <t>Conceptualmente, es la diferencia entre Mamdani (conclusión = curva → hay que desborrosificar) y Sugeno (conclusión = fórmula → sale un número). Ej: péndulo (Mamdani): salen dos etiquetas, se arma una curva y se desborrosifica → 3.9; coche (Sugeno): se calcula directo con fórmulas → 2.2518.</t>
  </si>
  <si>
    <t>5</t>
  </si>
  <si>
    <t>5. CLIPS / FuzzyCLIPS</t>
  </si>
  <si>
    <t>CLIPS / FUZZYCLIPS</t>
  </si>
  <si>
    <t>Programar sistemas de reglas con CLIPS y FuzzyCLIPS.</t>
  </si>
  <si>
    <t>Consolidar teoría antes de práctica .clp.</t>
  </si>
  <si>
    <t>5.1</t>
  </si>
  <si>
    <t>CLIPS clásico</t>
  </si>
  <si>
    <t>Conceptualmente, es un motor de reglas (creado por la NASA) que parte de hechos y dispara reglas SI-ENTONCES.</t>
  </si>
  <si>
    <t>5.1.a</t>
  </si>
  <si>
    <t>Hechos</t>
  </si>
  <si>
    <t>Conceptualmente, son los datos que el sistema conoce en este momento. Ej: (motor no_arranca).</t>
  </si>
  <si>
    <t>5.1.b</t>
  </si>
  <si>
    <t>Conceptualmente, son instrucciones del tipo «si se cumplen estos hechos =&gt; haz estas acciones».</t>
  </si>
  <si>
    <t>5.1.c</t>
  </si>
  <si>
    <t>Agenda</t>
  </si>
  <si>
    <t>Conceptualmente, es la lista de reglas que ya cumplen sus condiciones y esperan dispararse.</t>
  </si>
  <si>
    <t>5.1.d</t>
  </si>
  <si>
    <t>assert / retract</t>
  </si>
  <si>
    <t>Conceptualmente, son dos instrucciones: assert agrega un hecho y retract lo quita.</t>
  </si>
  <si>
    <t>5.1.e</t>
  </si>
  <si>
    <t>run</t>
  </si>
  <si>
    <t>Conceptualmente, es la instrucción que dispara las reglas de la agenda hasta que no queden.</t>
  </si>
  <si>
    <t>5.2</t>
  </si>
  <si>
    <t>FuzzyCLIPS</t>
  </si>
  <si>
    <t>Conceptualmente, es CLIPS ampliado para manejar incertidumbre con factores de certeza y conjuntos borrosos.</t>
  </si>
  <si>
    <t>Consolidar tras teoría.</t>
  </si>
  <si>
    <t>5.3</t>
  </si>
  <si>
    <t>Reglas simples</t>
  </si>
  <si>
    <t>Conceptualmente, es una regla con un antecedente y un consecuente que se clasifica según sean exactos o borrosos: CRISP_, FUZZY_CRISP o FUZZY_FUZZY.</t>
  </si>
  <si>
    <t>Reforzar FUZZY_FUZZY.</t>
  </si>
  <si>
    <t>5.3.a</t>
  </si>
  <si>
    <t>CRISP_</t>
  </si>
  <si>
    <t>Conceptualmente, es una regla sin objetos borrosos en la condición.</t>
  </si>
  <si>
    <t>5.3.b</t>
  </si>
  <si>
    <t>FUZZY_CRISP</t>
  </si>
  <si>
    <t>Conceptualmente, es una regla que lee un dato borroso y produce un dato normal, con una certeza que depende de la regla, del dato y de cuánto se parece el dato a la condición. Fórmula: CFc = CFr × CFf × S.</t>
  </si>
  <si>
    <t>5.3.b.1</t>
  </si>
  <si>
    <t>Entrada difusa → salida no difusa</t>
  </si>
  <si>
    <t>Conceptualmente, es el flujo de la regla: entra un hecho borroso y sale un hecho nítido.</t>
  </si>
  <si>
    <t>5.3.b.2</t>
  </si>
  <si>
    <t>A</t>
  </si>
  <si>
    <t>Conceptualmente, es la condición escrita en la regla.</t>
  </si>
  <si>
    <t>5.3.b.3</t>
  </si>
  <si>
    <t>A'</t>
  </si>
  <si>
    <t>Conceptualmente, es el hecho real que hay en memoria y que se compara con A.</t>
  </si>
  <si>
    <t>5.3.b.4</t>
  </si>
  <si>
    <t>C</t>
  </si>
  <si>
    <t>Conceptualmente, es la conclusión escrita en la regla.</t>
  </si>
  <si>
    <t>5.3.b.5</t>
  </si>
  <si>
    <t>C'</t>
  </si>
  <si>
    <t>Conceptualmente, es la conclusión que realmente se agrega cuando la regla se dispara.</t>
  </si>
  <si>
    <t>5.3.b.6</t>
  </si>
  <si>
    <t>CFr</t>
  </si>
  <si>
    <t>Conceptualmente, es un número que dice cuánto confío en la regla.</t>
  </si>
  <si>
    <t>5.3.b.7</t>
  </si>
  <si>
    <t>CFf</t>
  </si>
  <si>
    <t>Conceptualmente, es un número que dice cuánto confío en el hecho.</t>
  </si>
  <si>
    <t>5.3.b.8</t>
  </si>
  <si>
    <t>S</t>
  </si>
  <si>
    <t>Conceptualmente, es un número de 0 a 1 que dice qué tan parecidos son A y A' (iguales → 1).</t>
  </si>
  <si>
    <t>5.3.b.9</t>
  </si>
  <si>
    <t>CFc = CFr × CFf × S</t>
  </si>
  <si>
    <t>Conceptualmente, es la regla que calcula la certeza de la conclusión: certeza de la regla × certeza del hecho × parecido; baja si cualquiera es débil. Ej: CFr = 0.7, CFf = 0.8, S = 0.5 → CFc = 0.7·0.8·0.5 = 0.28.</t>
  </si>
  <si>
    <t>5.3.c</t>
  </si>
  <si>
    <t>FUZZY_FUZZY</t>
  </si>
  <si>
    <t>Conceptualmente, es una regla que lee un dato borroso y produce otro dato borroso: el resultado es una curva Fc'.</t>
  </si>
  <si>
    <t>Reenseñar solo Fc' y su cálculo cuando se retome.</t>
  </si>
  <si>
    <t>Muy alta</t>
  </si>
  <si>
    <t>5.3.c.1</t>
  </si>
  <si>
    <t>Entrada difusa → salida difusa</t>
  </si>
  <si>
    <t>Conceptualmente, es el flujo de la regla: entra un hecho borroso y sale un hecho borroso.</t>
  </si>
  <si>
    <t>5.3.c.2</t>
  </si>
  <si>
    <t>A ↔ Fα</t>
  </si>
  <si>
    <t>Conceptualmente, es que el antecedente A se guarda como el conjunto borroso Fα.</t>
  </si>
  <si>
    <t>5.3.c.3</t>
  </si>
  <si>
    <t>A' ↔ Fα'</t>
  </si>
  <si>
    <t>Conceptualmente, es que el hecho observado A' se guarda como el conjunto borroso Fα'.</t>
  </si>
  <si>
    <t>5.3.c.4</t>
  </si>
  <si>
    <t>C ↔ Fc</t>
  </si>
  <si>
    <t>Conceptualmente, es que la conclusión original C se guarda como el conjunto borroso Fc.</t>
  </si>
  <si>
    <t>5.3.c.5</t>
  </si>
  <si>
    <t>z</t>
  </si>
  <si>
    <t>Conceptualmente, es un número que mide cuánto encaja el hecho con la condición (solapamiento entre Fα y Fα') y sirve para ajustar la conclusión Fc.</t>
  </si>
  <si>
    <t>5.3.c.6</t>
  </si>
  <si>
    <t>Conceptualmente, es la conclusión que se obtiene en este caso concreto.</t>
  </si>
  <si>
    <t>5.3.c.7</t>
  </si>
  <si>
    <t>Fc'</t>
  </si>
  <si>
    <t>Conceptualmente, es la curva que representa a C': Fc ya modificada con z.</t>
  </si>
  <si>
    <t>5.3.c.8</t>
  </si>
  <si>
    <t>Relación C' ↔ Fc'</t>
  </si>
  <si>
    <t>Conceptualmente, es la misma conclusión vista de dos formas: C' es la idea y Fc' es su curva.</t>
  </si>
  <si>
    <t>5.3.c.9</t>
  </si>
  <si>
    <t>Cálculo de Fc'</t>
  </si>
  <si>
    <t>Conceptualmente, es ajustar la curva Fc con z para obtener Fc', usando max-min (recortar) o max-prod (escalar).</t>
  </si>
  <si>
    <t>5.3.c.10</t>
  </si>
  <si>
    <t>max-min</t>
  </si>
  <si>
    <t>Conceptualmente, es recortar la curva a la altura z. Ej: Fc = 0.2/a + 0.6/b + 1/c, z = 0.5 → 0.2/a + 0.5/b + 0.5/c.</t>
  </si>
  <si>
    <t>5.3.c.11</t>
  </si>
  <si>
    <t>max-prod</t>
  </si>
  <si>
    <t>Conceptualmente, es encoger toda la curva multiplicando sus grados por z. Ej: Fc = 0.2/a + 0.6/b + 1/c, z = 0.5 → 0.1/a + 0.3/b + 0.5/c.</t>
  </si>
  <si>
    <t>5.4</t>
  </si>
  <si>
    <t>Reglas complejas</t>
  </si>
  <si>
    <t>Conceptualmente, son reglas con varias condiciones o varias conclusiones a la vez.</t>
  </si>
  <si>
    <t>5.4.a</t>
  </si>
  <si>
    <t>Múltiples consecuentes</t>
  </si>
  <si>
    <t>Conceptualmente, es una regla donde una condición produce varias conclusiones.</t>
  </si>
  <si>
    <t>5.4.a.1</t>
  </si>
  <si>
    <t>Una condición → varias conclusiones</t>
  </si>
  <si>
    <t>Conceptualmente, es una condición que lleva a varias conclusiones.</t>
  </si>
  <si>
    <t>5.4.b</t>
  </si>
  <si>
    <t>Múltiples antecedentes</t>
  </si>
  <si>
    <t>Conceptualmente, es una regla donde varias condiciones juntas llevan a una conclusión.</t>
  </si>
  <si>
    <t>5.4.b.1</t>
  </si>
  <si>
    <t>Varias condiciones → conclusión</t>
  </si>
  <si>
    <t>Conceptualmente, son varias condiciones que llevan a una conclusión.</t>
  </si>
  <si>
    <t>5.5</t>
  </si>
  <si>
    <t>Matemática de reglas complejas</t>
  </si>
  <si>
    <t>Conceptualmente, es combinar todas las condiciones de una regla: intersecto los resultados borrosos y combino los CF. Cómo: intersecto los resultados borrosos y combino los CF.</t>
  </si>
  <si>
    <t>5.6</t>
  </si>
  <si>
    <t>Global Contribution</t>
  </si>
  <si>
    <t>Conceptualmente, es una regla que suma (une) la evidencia nueva a lo que ya tengo en vez de borrarlo, y se queda con el mayor CF. Ej: valor actual 0.4/a + 0.9/b (CF 0.6) y la regla concluye 0.7/a + 0.3/b (CF 0.8) → unión = 0.7/a + 0.9/b, CF = 0.8.</t>
  </si>
  <si>
    <t>Repasar unión de conjuntos y CF máximo.</t>
  </si>
  <si>
    <t>5.6.a</t>
  </si>
  <si>
    <t>Integrar nueva evidencia</t>
  </si>
  <si>
    <t>Conceptualmente, es que la conclusión nueva se une con el hecho que ya existía.</t>
  </si>
  <si>
    <t>5.7</t>
  </si>
  <si>
    <t>Threshold Certainty Factor</t>
  </si>
  <si>
    <t>Conceptualmente, es un umbral de certeza: si la regla no llega a ese CF, no se dispara.</t>
  </si>
  <si>
    <t>5.7.a</t>
  </si>
  <si>
    <t>Certeza mínima para disparar</t>
  </si>
  <si>
    <t>Conceptualmente, es cancelar la regla cuando su CF calculado queda bajo el umbral. Ej: umbral 0.5 y CF calculado 0.4 → no dispara.</t>
  </si>
  <si>
    <t>5.8</t>
  </si>
  <si>
    <t>CF en ASSERT</t>
  </si>
  <si>
    <t>Conceptualmente, es darle un CF propio al hecho que agrego con assert.</t>
  </si>
  <si>
    <t>5.8.a</t>
  </si>
  <si>
    <t>Ponderación adicional sobre la salida</t>
  </si>
  <si>
    <t>Conceptualmente, es que ese CF extra se multiplica con el que ya dio la regla. Ej: la regla da CF 0.56 y el assert lleva CF 0.5 → 0.56·0.5 = 0.28.</t>
  </si>
  <si>
    <t>5.9</t>
  </si>
  <si>
    <t>Desborrosificación en FuzzyCLIPS</t>
  </si>
  <si>
    <t>Conceptualmente, son las instrucciones de FuzzyCLIPS que convierten la salida borrosa en un número: (maximum-defuzzify n) usa el máximo; (moment-defuzzify n) usa el centro de gravedad.</t>
  </si>
  <si>
    <t>Cerrar COG/MOM y funciones.</t>
  </si>
  <si>
    <t>5.10</t>
  </si>
  <si>
    <t>Práctica real</t>
  </si>
  <si>
    <t>Conceptualmente, es escribir, ejecutar y leer programas .clp de FuzzyCLIPS.</t>
  </si>
  <si>
    <t>5.10.a</t>
  </si>
  <si>
    <t>deftemplate</t>
  </si>
  <si>
    <t>Conceptualmente, es la declaración de una variable borrosa: su rango y sus etiquetas dibujadas con puntos (valor, grado). Ej: (baja (0 1) (2 0)) = «baja» vale 1 en 0 y baja hasta 0 en 2.</t>
  </si>
  <si>
    <t>5.10.b</t>
  </si>
  <si>
    <t>Hechos borrosos</t>
  </si>
  <si>
    <t>Conceptualmente, es un dato borroso creado dando sus puntos. Ej: (X1 (4 0) (4 1) (4 0)) = valor exacto 4.</t>
  </si>
  <si>
    <t>5.10.c</t>
  </si>
  <si>
    <t>Reglas con CF</t>
  </si>
  <si>
    <t>Conceptualmente, es darle a la regla su nivel de confianza con (declare (CF valor)) dentro del defrule.</t>
  </si>
  <si>
    <t>5.10.d</t>
  </si>
  <si>
    <t>maximum-defuzzify</t>
  </si>
  <si>
    <t>Conceptualmente, es la función que convierte la salida borrosa en un número con el criterio del máximo.</t>
  </si>
  <si>
    <t>5.10.e</t>
  </si>
  <si>
    <t>moment-defuzzify</t>
  </si>
  <si>
    <t>Conceptualmente, es la función que convierte la salida borrosa en un número con el centro de gravedad.</t>
  </si>
  <si>
    <t>5.10.f</t>
  </si>
  <si>
    <t>Ejercicios .clp</t>
  </si>
  <si>
    <t>Conceptualmente, es trazar paso a paso los .clp reales del curso: coche, metro, frutas, ejemplo_fuz, ej18_fuz.</t>
  </si>
  <si>
    <t>RAZONAMIENTO APROXIMADO — SEGUIMIENTO DE ESTUDIO</t>
  </si>
  <si>
    <t>Actualización: Probabilidad Bayesiana 1.3 ya está INICIADA; las cuatro variables base quedaron comprendidas.</t>
  </si>
  <si>
    <t>Total conceptos</t>
  </si>
  <si>
    <t>Comprendidos / firmes</t>
  </si>
  <si>
    <t>Pendientes</t>
  </si>
  <si>
    <t>Débiles</t>
  </si>
  <si>
    <t>Cantidad</t>
  </si>
  <si>
    <t>DETALLE DEL CONCEPTO EN CURSO — 1.3 PROBABILIDAD BAYESIANA (ver tabla completa en J:N)</t>
  </si>
  <si>
    <t>Concepto</t>
  </si>
  <si>
    <t>Siguiente</t>
  </si>
  <si>
    <t>P(h)</t>
  </si>
  <si>
    <t>P(h|e)</t>
  </si>
  <si>
    <t>P(e|h)</t>
  </si>
  <si>
    <t>P(e)</t>
  </si>
  <si>
    <t>TODOS LOS TEMAS DEL CURSO — 50 temas (nivel 1, los 5 bloques)</t>
  </si>
  <si>
    <t>Tema</t>
  </si>
  <si>
    <t>Criterio de avance: un concepto no se marca como dominado solo por haberlo visto. En Bayes, por ahora está validado el significado de h, e, P(h) y P(h|e); la fórmula todavía NO está marcada como aprendida.</t>
  </si>
  <si>
    <t>PROGRESO POR BLOQUE — TODOS LOS TEMAS DEL CURSO</t>
  </si>
  <si>
    <t>Total</t>
  </si>
  <si>
    <t>🟢 Dominado</t>
  </si>
  <si>
    <t>🟠 En progreso</t>
  </si>
  <si>
    <t>% Dominado</t>
  </si>
  <si>
    <t>TOTAL CURSO</t>
  </si>
  <si>
    <t>Orden pedagógico del curso: Bloque 1 → 2 → 3 → 4 → 5. El bloque en curso es el 1 (Modelos clásicos de incertidumbre, foco actual: Bayes 1.3). Los demás bloques ya tienen algunos conceptos comprendidos de forma adelantada, pero ninguno está cerrado.</t>
  </si>
  <si>
    <t>Qué ya comprendes</t>
  </si>
  <si>
    <t>Qué falta / siguiente paso</t>
  </si>
  <si>
    <t>Interpretación</t>
  </si>
  <si>
    <t>Uso en el seguimiento</t>
  </si>
  <si>
    <t>Dominado</t>
  </si>
  <si>
    <t>Puedes explicarlo y usarlo con seguridad; idealmente falta confirmar en problema nuevo si aún no se hizo.</t>
  </si>
  <si>
    <t>Comprensión conceptual</t>
  </si>
  <si>
    <t>Puedes explicarlo correctamente con tus palabras.</t>
  </si>
  <si>
    <t>Entendido pero débil</t>
  </si>
  <si>
    <t>Necesita otra pasada o práctica para estabilizarlo.</t>
  </si>
  <si>
    <t>En progreso</t>
  </si>
  <si>
    <t>Ya fue introducido, pero falta matemática, procedimiento o aplicación.</t>
  </si>
  <si>
    <t>Avanzado parcialmente</t>
  </si>
  <si>
    <t>Hay varias piezas comprendidas, pero el bloque aún no está cerrado.</t>
  </si>
  <si>
    <t>No estudiado todavía</t>
  </si>
  <si>
    <t>Aún no se debe evaluar ni asumir como aprendido.</t>
  </si>
  <si>
    <t>Punto especialmente débil</t>
  </si>
  <si>
    <t>Requiere reenseñar el paso exacto y volver a verificar.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</si>
</sst>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b/>
      <sz val="11"/>
      <color rgb="FF0E1E3A"/>
      <name val="Carlito"/>
    </font>
    <font>
      <b/>
      <sz val="11"/>
      <color rgb="FF16284A"/>
      <name val="Carlito"/>
    </font>
    <font>
      <b/>
      <sz val="16"/>
      <color rgb="FFFFFFFF"/>
      <name val="Carlito"/>
    </font>
    <font>
      <b/>
      <sz val="11"/>
      <color rgb="FF9A3412"/>
      <name val="Carlito"/>
    </font>
    <font>
      <b/>
      <sz val="18"/>
      <color rgb="FF0E1E3A"/>
      <name val="Carlito"/>
    </font>
    <font>
      <i/>
      <sz val="11"/>
      <color rgb="FF334155"/>
      <name val="Carlito"/>
    </font>
    <font>
      <sz val="10"/>
      <name val="Carlito"/>
    </font>
    <font>
      <i/>
      <sz val="10"/>
      <color rgb="FF475569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28B2"/>
      </patternFill>
    </fill>
    <fill>
      <patternFill patternType="solid">
        <fgColor rgb="FFE8EEF8"/>
      </patternFill>
    </fill>
    <fill>
      <patternFill patternType="solid">
        <fgColor rgb="FF16284A"/>
      </patternFill>
    </fill>
    <fill>
      <patternFill patternType="solid">
        <fgColor rgb="FFFFF7ED"/>
      </patternFill>
    </fill>
    <fill>
      <patternFill patternType="solid">
        <fgColor rgb="FFF8FAFC"/>
      </patternFill>
    </fill>
    <fill>
      <patternFill patternType="solid">
        <fgColor rgb="FFF4F7F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1"/>
  </cellStyleXfs>
  <cellXfs count="38">
    <xf numFmtId="0" fontId="0" fillId="0" borderId="0" xfId="0" applyBorder="1"/>
    <xf numFmtId="0" fontId="0" fillId="0" borderId="1" xfId="0"/>
    <xf numFmtId="0" fontId="1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2" fillId="3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3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8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 wrapText="1"/>
    </xf>
    <xf numFmtId="9" fontId="0" fillId="0" borderId="1" xfId="0" applyNumberFormat="1"/>
    <xf numFmtId="0" fontId="2" fillId="3" borderId="0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vertical="top" wrapText="1"/>
    </xf>
    <xf numFmtId="0" fontId="3" fillId="7" borderId="0" xfId="0" applyFont="1" applyFill="1" applyBorder="1" applyAlignment="1">
      <alignment horizontal="left" vertical="top" wrapText="1" indent="1"/>
    </xf>
    <xf numFmtId="0" fontId="0" fillId="7" borderId="0" xfId="0" applyFill="1" applyBorder="1" applyAlignment="1">
      <alignment vertical="top" wrapText="1"/>
    </xf>
    <xf numFmtId="0" fontId="0" fillId="0" borderId="0" xfId="0" applyBorder="1" applyAlignment="1">
      <alignment horizontal="left" vertical="top" wrapText="1" indent="3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top" wrapText="1" indent="2"/>
    </xf>
    <xf numFmtId="0" fontId="4" fillId="4" borderId="1" xfId="0" applyFont="1" applyFill="1" applyAlignment="1">
      <alignment horizontal="center" vertical="center"/>
    </xf>
    <xf numFmtId="0" fontId="0" fillId="0" borderId="0" xfId="0" applyBorder="1"/>
    <xf numFmtId="0" fontId="1" fillId="2" borderId="1" xfId="0" applyFont="1" applyFill="1" applyAlignment="1">
      <alignment horizontal="center"/>
    </xf>
    <xf numFmtId="0" fontId="6" fillId="0" borderId="1" xfId="0" applyFont="1" applyAlignment="1">
      <alignment horizontal="center" vertical="center"/>
    </xf>
    <xf numFmtId="0" fontId="7" fillId="6" borderId="1" xfId="0" applyFont="1" applyFill="1" applyAlignment="1">
      <alignment vertical="center" wrapText="1"/>
    </xf>
    <xf numFmtId="0" fontId="5" fillId="5" borderId="1" xfId="0" applyFont="1" applyFill="1" applyAlignment="1">
      <alignment horizontal="left" vertical="center" wrapText="1"/>
    </xf>
    <xf numFmtId="0" fontId="3" fillId="3" borderId="1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F3F4F6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A3412"/>
      </font>
      <fill>
        <patternFill patternType="solid">
          <bgColor rgb="FFFFF7ED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F3F4F6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PE"/>
              <a:t>Distribución por estado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Resumen!$A$10:$A$16</c:f>
              <c:strCache>
                <c:ptCount val="7"/>
                <c:pt idx="0">
                  <c:v>🟢 Firme</c:v>
                </c:pt>
                <c:pt idx="1">
                  <c:v>🟢 Comprendido</c:v>
                </c:pt>
                <c:pt idx="2">
                  <c:v>🟡 Repasar</c:v>
                </c:pt>
                <c:pt idx="3">
                  <c:v>🟠 Iniciado</c:v>
                </c:pt>
                <c:pt idx="4">
                  <c:v>🟠 Parcial</c:v>
                </c:pt>
                <c:pt idx="5">
                  <c:v>⚪ Pendiente</c:v>
                </c:pt>
                <c:pt idx="6">
                  <c:v>🔴 Débil</c:v>
                </c:pt>
              </c:strCache>
            </c:strRef>
          </c:cat>
          <c:val>
            <c:numRef>
              <c:f>Resumen!$B$10:$B$16</c:f>
              <c:numCache>
                <c:formatCode>General</c:formatCode>
                <c:ptCount val="7"/>
                <c:pt idx="0">
                  <c:v>9</c:v>
                </c:pt>
                <c:pt idx="1">
                  <c:v>91</c:v>
                </c:pt>
                <c:pt idx="2">
                  <c:v>35</c:v>
                </c:pt>
                <c:pt idx="3">
                  <c:v>8</c:v>
                </c:pt>
                <c:pt idx="4">
                  <c:v>2</c:v>
                </c:pt>
                <c:pt idx="5">
                  <c:v>23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6-47DA-AA32-D50D88AE9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Qué falta por estudiar — progreso por bloque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Resumen!$C$43</c:f>
              <c:strCache>
                <c:ptCount val="1"/>
                <c:pt idx="0">
                  <c:v>🟢 Dominado</c:v>
                </c:pt>
              </c:strCache>
            </c:strRef>
          </c:tx>
          <c:spPr>
            <a:solidFill>
              <a:srgbClr val="2E7D32"/>
            </a:solidFill>
            <a:ln>
              <a:noFill/>
              <a:prstDash val="solid"/>
            </a:ln>
          </c:spPr>
          <c:invertIfNegative val="1"/>
          <c:cat>
            <c:strRef>
              <c:f>Resumen!$A$44:$A$48</c:f>
              <c:strCache>
                <c:ptCount val="5"/>
                <c:pt idx="0">
                  <c:v>1. Modelos clásicos de incertidumbre</c:v>
                </c:pt>
                <c:pt idx="1">
                  <c:v>2. Fundamentos de lógica borrosa</c:v>
                </c:pt>
                <c:pt idx="2">
                  <c:v>3. Razonamiento aproximado</c:v>
                </c:pt>
                <c:pt idx="3">
                  <c:v>4. Control borroso</c:v>
                </c:pt>
                <c:pt idx="4">
                  <c:v>5. CLIPS / FuzzyCLIPS</c:v>
                </c:pt>
              </c:strCache>
            </c:strRef>
          </c:cat>
          <c:val>
            <c:numRef>
              <c:f>Resumen!$C$44:$C$48</c:f>
              <c:numCache>
                <c:formatCode>General</c:formatCode>
                <c:ptCount val="5"/>
                <c:pt idx="0">
                  <c:v>35</c:v>
                </c:pt>
                <c:pt idx="1">
                  <c:v>9</c:v>
                </c:pt>
                <c:pt idx="2">
                  <c:v>22</c:v>
                </c:pt>
                <c:pt idx="3">
                  <c:v>9</c:v>
                </c:pt>
                <c:pt idx="4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96-4DAF-91C1-33A499F59E5D}"/>
            </c:ext>
          </c:extLst>
        </c:ser>
        <c:ser>
          <c:idx val="1"/>
          <c:order val="1"/>
          <c:tx>
            <c:strRef>
              <c:f>Resumen!$D$43</c:f>
              <c:strCache>
                <c:ptCount val="1"/>
                <c:pt idx="0">
                  <c:v>🟠 En progreso</c:v>
                </c:pt>
              </c:strCache>
            </c:strRef>
          </c:tx>
          <c:spPr>
            <a:solidFill>
              <a:srgbClr val="F59E0B"/>
            </a:solidFill>
            <a:ln>
              <a:noFill/>
              <a:prstDash val="solid"/>
            </a:ln>
          </c:spPr>
          <c:invertIfNegative val="1"/>
          <c:cat>
            <c:strRef>
              <c:f>Resumen!$A$44:$A$48</c:f>
              <c:strCache>
                <c:ptCount val="5"/>
                <c:pt idx="0">
                  <c:v>1. Modelos clásicos de incertidumbre</c:v>
                </c:pt>
                <c:pt idx="1">
                  <c:v>2. Fundamentos de lógica borrosa</c:v>
                </c:pt>
                <c:pt idx="2">
                  <c:v>3. Razonamiento aproximado</c:v>
                </c:pt>
                <c:pt idx="3">
                  <c:v>4. Control borroso</c:v>
                </c:pt>
                <c:pt idx="4">
                  <c:v>5. CLIPS / FuzzyCLIPS</c:v>
                </c:pt>
              </c:strCache>
            </c:strRef>
          </c:cat>
          <c:val>
            <c:numRef>
              <c:f>Resumen!$D$44:$D$48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896-4DAF-91C1-33A499F59E5D}"/>
            </c:ext>
          </c:extLst>
        </c:ser>
        <c:ser>
          <c:idx val="2"/>
          <c:order val="2"/>
          <c:tx>
            <c:strRef>
              <c:f>Resumen!$E$43</c:f>
              <c:strCache>
                <c:ptCount val="1"/>
                <c:pt idx="0">
                  <c:v>🟡 Repasar</c:v>
                </c:pt>
              </c:strCache>
            </c:strRef>
          </c:tx>
          <c:spPr>
            <a:solidFill>
              <a:srgbClr val="EAB308"/>
            </a:solidFill>
            <a:ln>
              <a:noFill/>
              <a:prstDash val="solid"/>
            </a:ln>
          </c:spPr>
          <c:invertIfNegative val="1"/>
          <c:cat>
            <c:strRef>
              <c:f>Resumen!$A$44:$A$48</c:f>
              <c:strCache>
                <c:ptCount val="5"/>
                <c:pt idx="0">
                  <c:v>1. Modelos clásicos de incertidumbre</c:v>
                </c:pt>
                <c:pt idx="1">
                  <c:v>2. Fundamentos de lógica borrosa</c:v>
                </c:pt>
                <c:pt idx="2">
                  <c:v>3. Razonamiento aproximado</c:v>
                </c:pt>
                <c:pt idx="3">
                  <c:v>4. Control borroso</c:v>
                </c:pt>
                <c:pt idx="4">
                  <c:v>5. CLIPS / FuzzyCLIPS</c:v>
                </c:pt>
              </c:strCache>
            </c:strRef>
          </c:cat>
          <c:val>
            <c:numRef>
              <c:f>Resumen!$E$44:$E$48</c:f>
              <c:numCache>
                <c:formatCode>General</c:formatCode>
                <c:ptCount val="5"/>
                <c:pt idx="0">
                  <c:v>1</c:v>
                </c:pt>
                <c:pt idx="1">
                  <c:v>14</c:v>
                </c:pt>
                <c:pt idx="2">
                  <c:v>6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896-4DAF-91C1-33A499F59E5D}"/>
            </c:ext>
          </c:extLst>
        </c:ser>
        <c:ser>
          <c:idx val="3"/>
          <c:order val="3"/>
          <c:tx>
            <c:strRef>
              <c:f>Resumen!$F$43</c:f>
              <c:strCache>
                <c:ptCount val="1"/>
                <c:pt idx="0">
                  <c:v>⚪ Pendiente</c:v>
                </c:pt>
              </c:strCache>
            </c:strRef>
          </c:tx>
          <c:spPr>
            <a:solidFill>
              <a:srgbClr val="94A3B8"/>
            </a:solidFill>
            <a:ln>
              <a:noFill/>
              <a:prstDash val="solid"/>
            </a:ln>
          </c:spPr>
          <c:invertIfNegative val="1"/>
          <c:cat>
            <c:strRef>
              <c:f>Resumen!$A$44:$A$48</c:f>
              <c:strCache>
                <c:ptCount val="5"/>
                <c:pt idx="0">
                  <c:v>1. Modelos clásicos de incertidumbre</c:v>
                </c:pt>
                <c:pt idx="1">
                  <c:v>2. Fundamentos de lógica borrosa</c:v>
                </c:pt>
                <c:pt idx="2">
                  <c:v>3. Razonamiento aproximado</c:v>
                </c:pt>
                <c:pt idx="3">
                  <c:v>4. Control borroso</c:v>
                </c:pt>
                <c:pt idx="4">
                  <c:v>5. CLIPS / FuzzyCLIPS</c:v>
                </c:pt>
              </c:strCache>
            </c:strRef>
          </c:cat>
          <c:val>
            <c:numRef>
              <c:f>Resumen!$F$44:$F$48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896-4DAF-91C1-33A499F59E5D}"/>
            </c:ext>
          </c:extLst>
        </c:ser>
        <c:ser>
          <c:idx val="4"/>
          <c:order val="4"/>
          <c:tx>
            <c:strRef>
              <c:f>Resumen!$G$43</c:f>
              <c:strCache>
                <c:ptCount val="1"/>
                <c:pt idx="0">
                  <c:v>🔴 Débil</c:v>
                </c:pt>
              </c:strCache>
            </c:strRef>
          </c:tx>
          <c:spPr>
            <a:solidFill>
              <a:srgbClr val="DC2626"/>
            </a:solidFill>
            <a:ln>
              <a:noFill/>
              <a:prstDash val="solid"/>
            </a:ln>
          </c:spPr>
          <c:invertIfNegative val="1"/>
          <c:cat>
            <c:strRef>
              <c:f>Resumen!$A$44:$A$48</c:f>
              <c:strCache>
                <c:ptCount val="5"/>
                <c:pt idx="0">
                  <c:v>1. Modelos clásicos de incertidumbre</c:v>
                </c:pt>
                <c:pt idx="1">
                  <c:v>2. Fundamentos de lógica borrosa</c:v>
                </c:pt>
                <c:pt idx="2">
                  <c:v>3. Razonamiento aproximado</c:v>
                </c:pt>
                <c:pt idx="3">
                  <c:v>4. Control borroso</c:v>
                </c:pt>
                <c:pt idx="4">
                  <c:v>5. CLIPS / FuzzyCLIPS</c:v>
                </c:pt>
              </c:strCache>
            </c:strRef>
          </c:cat>
          <c:val>
            <c:numRef>
              <c:f>Resumen!$G$44:$G$48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896-4DAF-91C1-33A499F59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Cantidad de temas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0</xdr:colOff>
      <xdr:row>0</xdr:row>
      <xdr:rowOff>0</xdr:rowOff>
    </xdr:from>
    <xdr:ext cx="6840000" cy="324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aEstudioTable" displayName="MapaEstudioTable" ref="A1:J171" totalsRowShown="0">
  <tableColumns count="10">
    <tableColumn id="1" xr3:uid="{00000000-0010-0000-0000-000001000000}" name="Código"/>
    <tableColumn id="2" xr3:uid="{00000000-0010-0000-0000-000002000000}" name="Bloque"/>
    <tableColumn id="3" xr3:uid="{00000000-0010-0000-0000-000003000000}" name="Tema / concepto"/>
    <tableColumn id="4" xr3:uid="{00000000-0010-0000-0000-000004000000}" name="Nivel"/>
    <tableColumn id="5" xr3:uid="{00000000-0010-0000-0000-000005000000}" name="Estado"/>
    <tableColumn id="6" xr3:uid="{00000000-0010-0000-0000-000006000000}" name="Qué significa / evidencia actual"/>
    <tableColumn id="7" xr3:uid="{00000000-0010-0000-0000-000007000000}" name="Siguiente paso"/>
    <tableColumn id="8" xr3:uid="{00000000-0010-0000-0000-000008000000}" name="Prioridad"/>
    <tableColumn id="9" xr3:uid="{00000000-0010-0000-0000-000009000000}" name="Actualizado"/>
    <tableColumn id="10" xr3:uid="{00000000-0010-0000-0000-00000A000000}" name="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yesTrackerTable" displayName="BayesTrackerTable" ref="A1:F14" totalsRowShown="0">
  <tableColumns count="6">
    <tableColumn id="1" xr3:uid="{00000000-0010-0000-0100-000001000000}" name="Código"/>
    <tableColumn id="2" xr3:uid="{00000000-0010-0000-0100-000002000000}" name="Concepto"/>
    <tableColumn id="3" xr3:uid="{00000000-0010-0000-0100-000003000000}" name="Estado"/>
    <tableColumn id="4" xr3:uid="{00000000-0010-0000-0100-000004000000}" name="Qué ya comprendes"/>
    <tableColumn id="5" xr3:uid="{00000000-0010-0000-0100-000005000000}" name="Qué falta / siguiente paso"/>
    <tableColumn id="6" xr3:uid="{00000000-0010-0000-0100-000006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opLeftCell="A2" workbookViewId="0">
      <selection sqref="A1:H1"/>
    </sheetView>
  </sheetViews>
  <sheetFormatPr baseColWidth="10" defaultColWidth="9" defaultRowHeight="14.25"/>
  <cols>
    <col min="1" max="1" width="24" customWidth="1"/>
    <col min="2" max="2" width="12" customWidth="1"/>
    <col min="4" max="4" width="22" customWidth="1"/>
    <col min="5" max="5" width="20" customWidth="1"/>
    <col min="6" max="7" width="34" customWidth="1"/>
    <col min="8" max="8" width="12" customWidth="1"/>
    <col min="10" max="10" width="9" customWidth="1"/>
    <col min="11" max="11" width="7" customWidth="1"/>
    <col min="12" max="12" width="32" customWidth="1"/>
    <col min="13" max="13" width="16" customWidth="1"/>
    <col min="14" max="14" width="11" customWidth="1"/>
  </cols>
  <sheetData>
    <row r="1" spans="1:8" ht="33.950000000000003" customHeight="1">
      <c r="A1" s="31" t="s">
        <v>566</v>
      </c>
      <c r="B1" s="32"/>
      <c r="C1" s="32"/>
      <c r="D1" s="32"/>
      <c r="E1" s="32"/>
      <c r="F1" s="32"/>
      <c r="G1" s="32"/>
      <c r="H1" s="32"/>
    </row>
    <row r="3" spans="1:8" ht="32.1" customHeight="1">
      <c r="A3" s="36" t="s">
        <v>567</v>
      </c>
      <c r="B3" s="32"/>
      <c r="C3" s="32"/>
      <c r="D3" s="32"/>
      <c r="E3" s="32"/>
      <c r="F3" s="32"/>
      <c r="G3" s="32"/>
      <c r="H3" s="32"/>
    </row>
    <row r="5" spans="1:8" ht="15" customHeight="1">
      <c r="A5" s="37" t="s">
        <v>568</v>
      </c>
      <c r="B5" s="32"/>
      <c r="C5" s="37" t="s">
        <v>569</v>
      </c>
      <c r="D5" s="32"/>
      <c r="E5" s="37" t="s">
        <v>570</v>
      </c>
      <c r="F5" s="32"/>
      <c r="G5" s="37" t="s">
        <v>571</v>
      </c>
      <c r="H5" s="32"/>
    </row>
    <row r="6" spans="1:8" ht="33.950000000000003" customHeight="1">
      <c r="A6" s="34">
        <f>COUNTA('Mapa de estudio'!$A$2:$A$171)</f>
        <v>170</v>
      </c>
      <c r="B6" s="32"/>
      <c r="C6" s="34">
        <f>COUNTIF('Mapa de estudio'!$E$2:$E$171,"🟢 Comprendido")+COUNTIF('Mapa de estudio'!$E$2:$E$171,"🟢 Firme")</f>
        <v>100</v>
      </c>
      <c r="D6" s="32"/>
      <c r="E6" s="34">
        <f>COUNTIF('Mapa de estudio'!$E$2:$E$171,"⚪ Pendiente")</f>
        <v>23</v>
      </c>
      <c r="F6" s="32"/>
      <c r="G6" s="34">
        <f>COUNTIF('Mapa de estudio'!$E$2:$E$171,"🔴 Débil")</f>
        <v>2</v>
      </c>
      <c r="H6" s="32"/>
    </row>
    <row r="9" spans="1:8" ht="15" customHeight="1">
      <c r="A9" s="9" t="s">
        <v>4</v>
      </c>
      <c r="B9" s="9" t="s">
        <v>572</v>
      </c>
      <c r="D9" s="33" t="s">
        <v>573</v>
      </c>
      <c r="E9" s="32"/>
      <c r="F9" s="32"/>
      <c r="G9" s="32"/>
      <c r="H9" s="32"/>
    </row>
    <row r="10" spans="1:8" ht="15" customHeight="1">
      <c r="A10" t="s">
        <v>35</v>
      </c>
      <c r="B10">
        <f>COUNTIF('Mapa de estudio'!$E$2:$E$171,A10)</f>
        <v>9</v>
      </c>
      <c r="D10" s="10" t="s">
        <v>574</v>
      </c>
      <c r="E10" s="10" t="s">
        <v>4</v>
      </c>
      <c r="F10" s="10" t="s">
        <v>31</v>
      </c>
      <c r="G10" s="10" t="s">
        <v>575</v>
      </c>
      <c r="H10" s="10" t="s">
        <v>7</v>
      </c>
    </row>
    <row r="11" spans="1:8" ht="42.75">
      <c r="A11" t="s">
        <v>21</v>
      </c>
      <c r="B11">
        <f>COUNTIF('Mapa de estudio'!$E$2:$E$171,A11)</f>
        <v>91</v>
      </c>
      <c r="D11" s="7" t="s">
        <v>49</v>
      </c>
      <c r="E11" s="7" t="str">
        <f>INDEX('Mapa de estudio'!$E$2:$E$171,MATCH("1.3.a",'Mapa de estudio'!$A$2:$A$171,0))</f>
        <v>🟢 Comprendido</v>
      </c>
      <c r="F11" s="7" t="str">
        <f>INDEX('Mapa de estudio'!$F$2:$F$171,MATCH("1.3.a",'Mapa de estudio'!$A$2:$A$171,0))</f>
        <v>Conceptualmente, es la afirmación que quiero comprobar. Ej: «quien llama es mi amigo».</v>
      </c>
      <c r="G11" s="7" t="str">
        <f>INDEX('Mapa de estudio'!$G$2:$G$171,MATCH("1.3.a",'Mapa de estudio'!$A$2:$A$171,0))&amp;""</f>
        <v/>
      </c>
      <c r="H11" s="7" t="str">
        <f>INDEX('Mapa de estudio'!$H$2:$H$171,MATCH("1.3.a",'Mapa de estudio'!$A$2:$A$171,0))</f>
        <v>Baja</v>
      </c>
    </row>
    <row r="12" spans="1:8" ht="42.75">
      <c r="A12" t="s">
        <v>143</v>
      </c>
      <c r="B12">
        <f>COUNTIF('Mapa de estudio'!$E$2:$E$171,A12)</f>
        <v>35</v>
      </c>
      <c r="D12" s="7" t="s">
        <v>53</v>
      </c>
      <c r="E12" s="7" t="str">
        <f>INDEX('Mapa de estudio'!$E$2:$E$171,MATCH("1.3.b",'Mapa de estudio'!$A$2:$A$171,0))</f>
        <v>🟢 Comprendido</v>
      </c>
      <c r="F12" s="7" t="str">
        <f>INDEX('Mapa de estudio'!$F$2:$F$171,MATCH("1.3.b",'Mapa de estudio'!$A$2:$A$171,0))</f>
        <v>Conceptualmente, es el dato nuevo que observo y que puede cambiar lo que creo sobre h. Ej: «se oye tráfico».</v>
      </c>
      <c r="G12" s="7" t="str">
        <f>INDEX('Mapa de estudio'!$G$2:$G$171,MATCH("1.3.b",'Mapa de estudio'!$A$2:$A$171,0))&amp;""</f>
        <v/>
      </c>
      <c r="H12" s="7" t="str">
        <f>INDEX('Mapa de estudio'!$H$2:$H$171,MATCH("1.3.b",'Mapa de estudio'!$A$2:$A$171,0))</f>
        <v>Baja</v>
      </c>
    </row>
    <row r="13" spans="1:8" ht="28.5">
      <c r="A13" t="s">
        <v>13</v>
      </c>
      <c r="B13">
        <f>COUNTIF('Mapa de estudio'!$E$2:$E$171,A13)</f>
        <v>8</v>
      </c>
      <c r="D13" s="7" t="s">
        <v>576</v>
      </c>
      <c r="E13" s="7" t="str">
        <f>INDEX('Mapa de estudio'!$E$2:$E$171,MATCH("1.3.c",'Mapa de estudio'!$A$2:$A$171,0))</f>
        <v>🟢 Comprendido</v>
      </c>
      <c r="F13" s="7" t="str">
        <f>INDEX('Mapa de estudio'!$F$2:$F$171,MATCH("1.3.c",'Mapa de estudio'!$A$2:$A$171,0))</f>
        <v>Conceptualmente, es cuánto creo en h antes de ver la evidencia e.</v>
      </c>
      <c r="G13" s="7" t="str">
        <f>INDEX('Mapa de estudio'!$G$2:$G$171,MATCH("1.3.c",'Mapa de estudio'!$A$2:$A$171,0))&amp;""</f>
        <v/>
      </c>
      <c r="H13" s="7" t="str">
        <f>INDEX('Mapa de estudio'!$H$2:$H$171,MATCH("1.3.c",'Mapa de estudio'!$A$2:$A$171,0))</f>
        <v>Baja</v>
      </c>
    </row>
    <row r="14" spans="1:8" ht="42.75">
      <c r="A14" t="s">
        <v>186</v>
      </c>
      <c r="B14">
        <f>COUNTIF('Mapa de estudio'!$E$2:$E$171,A14)</f>
        <v>2</v>
      </c>
      <c r="D14" s="7" t="s">
        <v>577</v>
      </c>
      <c r="E14" s="7" t="str">
        <f>INDEX('Mapa de estudio'!$E$2:$E$171,MATCH("1.3.d",'Mapa de estudio'!$A$2:$A$171,0))</f>
        <v>🟢 Comprendido</v>
      </c>
      <c r="F14" s="7" t="str">
        <f>INDEX('Mapa de estudio'!$F$2:$F$171,MATCH("1.3.d",'Mapa de estudio'!$A$2:$A$171,0))</f>
        <v>Conceptualmente, es cuánto creo en h después de ver e (la barra «|» se lee «dado que»).</v>
      </c>
      <c r="G14" s="7" t="str">
        <f>INDEX('Mapa de estudio'!$G$2:$G$171,MATCH("1.3.d",'Mapa de estudio'!$A$2:$A$171,0))&amp;""</f>
        <v/>
      </c>
      <c r="H14" s="7" t="str">
        <f>INDEX('Mapa de estudio'!$H$2:$H$171,MATCH("1.3.d",'Mapa de estudio'!$A$2:$A$171,0))</f>
        <v>Baja</v>
      </c>
    </row>
    <row r="15" spans="1:8" ht="71.25">
      <c r="A15" t="s">
        <v>343</v>
      </c>
      <c r="B15">
        <f>COUNTIF('Mapa de estudio'!$E$2:$E$171,A15)</f>
        <v>23</v>
      </c>
      <c r="D15" s="7" t="s">
        <v>578</v>
      </c>
      <c r="E15" s="7" t="str">
        <f>INDEX('Mapa de estudio'!$E$2:$E$171,MATCH("1.3.f",'Mapa de estudio'!$A$2:$A$171,0))</f>
        <v>🟢 Comprendido</v>
      </c>
      <c r="F15" s="7" t="str">
        <f>INDEX('Mapa de estudio'!$F$2:$F$171,MATCH("1.3.f",'Mapa de estudio'!$A$2:$A$171,0))</f>
        <v>Conceptualmente, es qué tan esperable sería ver la evidencia e si la hipótesis h fuera cierta. Ej: si llama mi amigo de la calle, oír tráfico es muy esperable.</v>
      </c>
      <c r="G15" s="7" t="str">
        <f>INDEX('Mapa de estudio'!$G$2:$G$171,MATCH("1.3.f",'Mapa de estudio'!$A$2:$A$171,0))&amp;""</f>
        <v>Explicarlo antes de usar la fórmula.</v>
      </c>
      <c r="H15" s="7" t="str">
        <f>INDEX('Mapa de estudio'!$H$2:$H$171,MATCH("1.3.f",'Mapa de estudio'!$A$2:$A$171,0))</f>
        <v>Alta</v>
      </c>
    </row>
    <row r="16" spans="1:8" ht="57">
      <c r="A16" t="s">
        <v>182</v>
      </c>
      <c r="B16">
        <f>COUNTIF('Mapa de estudio'!$E$2:$E$171,A16)</f>
        <v>2</v>
      </c>
      <c r="D16" s="7" t="s">
        <v>579</v>
      </c>
      <c r="E16" s="7" t="str">
        <f>INDEX('Mapa de estudio'!$E$2:$E$171,MATCH("1.3.g",'Mapa de estudio'!$A$2:$A$171,0))</f>
        <v>🟢 Comprendido</v>
      </c>
      <c r="F16" s="7" t="str">
        <f>INDEX('Mapa de estudio'!$F$2:$F$171,MATCH("1.3.g",'Mapa de estudio'!$A$2:$A$171,0))</f>
        <v>Conceptualmente, es qué tan común es ver la evidencia e en total (con h y sin h); sirve de divisor para que el resultado quede entre 0 y 1.</v>
      </c>
      <c r="G16" s="7" t="str">
        <f>INDEX('Mapa de estudio'!$G$2:$G$171,MATCH("1.3.g",'Mapa de estudio'!$A$2:$A$171,0))&amp;""</f>
        <v>Explicarlo junto con P(e|h) sin mezclar ambos.</v>
      </c>
      <c r="H16" s="7" t="str">
        <f>INDEX('Mapa de estudio'!$H$2:$H$171,MATCH("1.3.g",'Mapa de estudio'!$A$2:$A$171,0))</f>
        <v>Alta</v>
      </c>
    </row>
    <row r="17" spans="1:14" ht="28.5" customHeight="1">
      <c r="D17" s="7" t="s">
        <v>74</v>
      </c>
      <c r="E17" s="7" t="str">
        <f>INDEX('Mapa de estudio'!$E$2:$E$171,MATCH("1.3.h",'Mapa de estudio'!$A$2:$A$171,0))</f>
        <v>🟢 Comprendido</v>
      </c>
      <c r="F17" s="7" t="str">
        <f>INDEX('Mapa de estudio'!$F$2:$F$171,MATCH("1.3.h",'Mapa de estudio'!$A$2:$A$171,0))</f>
        <v>Conceptualmente, es la regla que calcula la creencia nueva: mi creencia inicial ajustada por qué tan esperable era la evidencia, dividida entre qué tan común es esa evidencia. Fórmula: P(h|e) = P(h)·P(e|h) / P(e).</v>
      </c>
      <c r="G17" s="7" t="str">
        <f>INDEX('Mapa de estudio'!$G$2:$G$171,MATCH("1.3.h",'Mapa de estudio'!$A$2:$A$171,0))&amp;""</f>
        <v>Construir la fórmula solo cuando cada término esté entendido.</v>
      </c>
      <c r="H17" s="7" t="str">
        <f>INDEX('Mapa de estudio'!$H$2:$H$171,MATCH("1.3.h",'Mapa de estudio'!$A$2:$A$171,0))</f>
        <v>Alta</v>
      </c>
    </row>
    <row r="19" spans="1:14">
      <c r="A19" s="1"/>
      <c r="B19" s="1"/>
      <c r="C19" s="1"/>
      <c r="D19" s="1"/>
      <c r="E19" s="1"/>
      <c r="F19" s="1"/>
      <c r="G19" s="1"/>
      <c r="H19" s="1"/>
    </row>
    <row r="20" spans="1:14">
      <c r="A20" s="1"/>
      <c r="B20" s="1"/>
      <c r="C20" s="1"/>
      <c r="D20" s="1"/>
      <c r="E20" s="1"/>
      <c r="F20" s="1"/>
      <c r="G20" s="1"/>
      <c r="H20" s="1"/>
    </row>
    <row r="21" spans="1:14">
      <c r="A21" s="1"/>
      <c r="B21" s="1"/>
      <c r="C21" s="1"/>
      <c r="D21" s="1"/>
      <c r="E21" s="1"/>
      <c r="F21" s="1"/>
      <c r="G21" s="1"/>
      <c r="H21" s="22"/>
    </row>
    <row r="22" spans="1:14">
      <c r="A22" s="1"/>
      <c r="B22" s="1"/>
      <c r="C22" s="1"/>
      <c r="D22" s="1"/>
      <c r="E22" s="1"/>
      <c r="F22" s="1"/>
      <c r="G22" s="1"/>
      <c r="H22" s="22"/>
    </row>
    <row r="23" spans="1:14" ht="15" customHeight="1">
      <c r="A23" s="1"/>
      <c r="B23" s="1"/>
      <c r="C23" s="1"/>
      <c r="D23" s="1"/>
      <c r="E23" s="1"/>
      <c r="F23" s="1"/>
      <c r="G23" s="1"/>
      <c r="H23" s="22"/>
      <c r="J23" s="33" t="s">
        <v>580</v>
      </c>
      <c r="K23" s="32"/>
      <c r="L23" s="32"/>
      <c r="M23" s="32"/>
      <c r="N23" s="32"/>
    </row>
    <row r="24" spans="1:14" ht="15" customHeight="1">
      <c r="A24" s="1"/>
      <c r="B24" s="1"/>
      <c r="C24" s="1"/>
      <c r="D24" s="1"/>
      <c r="E24" s="1"/>
      <c r="F24" s="1"/>
      <c r="G24" s="1"/>
      <c r="H24" s="22"/>
      <c r="J24" s="8" t="s">
        <v>0</v>
      </c>
      <c r="K24" s="8" t="s">
        <v>1</v>
      </c>
      <c r="L24" s="8" t="s">
        <v>581</v>
      </c>
      <c r="M24" s="8" t="s">
        <v>4</v>
      </c>
      <c r="N24" s="8" t="s">
        <v>7</v>
      </c>
    </row>
    <row r="25" spans="1:14">
      <c r="A25" s="1"/>
      <c r="B25" s="1"/>
      <c r="C25" s="1"/>
      <c r="D25" s="1"/>
      <c r="E25" s="1"/>
      <c r="F25" s="1"/>
      <c r="G25" s="1"/>
      <c r="H25" s="22"/>
      <c r="J25" s="18" t="str">
        <f>'Mapa de estudio'!A3</f>
        <v>1.1</v>
      </c>
      <c r="K25" s="18" t="str">
        <f t="shared" ref="K25:K56" si="0">LEFT(J25,FIND(".",J25)-1)</f>
        <v>1</v>
      </c>
      <c r="L25" s="19" t="str">
        <f>'Mapa de estudio'!C3</f>
        <v>Qué es incertidumbre</v>
      </c>
      <c r="M25" s="18" t="str">
        <f>'Mapa de estudio'!E3</f>
        <v>🟢 Comprendido</v>
      </c>
      <c r="N25" s="18" t="str">
        <f>'Mapa de estudio'!H3</f>
        <v>Baja</v>
      </c>
    </row>
    <row r="26" spans="1:14">
      <c r="A26" s="1"/>
      <c r="B26" s="1"/>
      <c r="C26" s="1"/>
      <c r="D26" s="1"/>
      <c r="E26" s="1"/>
      <c r="F26" s="1"/>
      <c r="G26" s="1"/>
      <c r="H26" s="22"/>
      <c r="J26" s="18" t="str">
        <f>'Mapa de estudio'!A7</f>
        <v>1.2</v>
      </c>
      <c r="K26" s="18" t="str">
        <f t="shared" si="0"/>
        <v>1</v>
      </c>
      <c r="L26" s="19" t="str">
        <f>'Mapa de estudio'!C7</f>
        <v>Incertidumbre vs. borrosidad</v>
      </c>
      <c r="M26" s="18" t="str">
        <f>'Mapa de estudio'!E7</f>
        <v>🟢 Firme</v>
      </c>
      <c r="N26" s="18" t="str">
        <f>'Mapa de estudio'!H7</f>
        <v>Baja</v>
      </c>
    </row>
    <row r="27" spans="1:14">
      <c r="A27" s="1"/>
      <c r="B27" s="1"/>
      <c r="C27" s="1"/>
      <c r="D27" s="1"/>
      <c r="E27" s="1"/>
      <c r="F27" s="1"/>
      <c r="G27" s="1"/>
      <c r="H27" s="1"/>
      <c r="J27" s="18" t="str">
        <f>'Mapa de estudio'!A10</f>
        <v>1.3</v>
      </c>
      <c r="K27" s="18" t="str">
        <f t="shared" si="0"/>
        <v>1</v>
      </c>
      <c r="L27" s="19" t="str">
        <f>'Mapa de estudio'!C10</f>
        <v>Probabilidad Bayesiana</v>
      </c>
      <c r="M27" s="18" t="str">
        <f>'Mapa de estudio'!E10</f>
        <v>🟢 Comprendido</v>
      </c>
      <c r="N27" s="18" t="str">
        <f>'Mapa de estudio'!H10</f>
        <v>Alta</v>
      </c>
    </row>
    <row r="28" spans="1:14">
      <c r="J28" s="18" t="str">
        <f>'Mapa de estudio'!A23</f>
        <v>1.4</v>
      </c>
      <c r="K28" s="18" t="str">
        <f t="shared" si="0"/>
        <v>1</v>
      </c>
      <c r="L28" s="19" t="str">
        <f>'Mapa de estudio'!C23</f>
        <v>Factores de Certeza / MYCIN</v>
      </c>
      <c r="M28" s="18" t="str">
        <f>'Mapa de estudio'!E23</f>
        <v>🟠 Iniciado</v>
      </c>
      <c r="N28" s="18" t="str">
        <f>'Mapa de estudio'!H23</f>
        <v>Alta</v>
      </c>
    </row>
    <row r="29" spans="1:14">
      <c r="J29" s="18" t="str">
        <f>'Mapa de estudio'!A32</f>
        <v>1.5</v>
      </c>
      <c r="K29" s="18" t="str">
        <f t="shared" si="0"/>
        <v>1</v>
      </c>
      <c r="L29" s="19" t="str">
        <f>'Mapa de estudio'!C32</f>
        <v>Dempster-Shafer</v>
      </c>
      <c r="M29" s="18" t="str">
        <f>'Mapa de estudio'!E32</f>
        <v>🟢 Comprendido</v>
      </c>
      <c r="N29" s="18" t="str">
        <f>'Mapa de estudio'!H32</f>
        <v>Alta</v>
      </c>
    </row>
    <row r="30" spans="1:14">
      <c r="J30" s="20" t="str">
        <f>'Mapa de estudio'!A40</f>
        <v>2.1</v>
      </c>
      <c r="K30" s="20" t="str">
        <f t="shared" si="0"/>
        <v>2</v>
      </c>
      <c r="L30" s="21" t="str">
        <f>'Mapa de estudio'!C40</f>
        <v>Qué problema resuelve</v>
      </c>
      <c r="M30" s="20" t="str">
        <f>'Mapa de estudio'!E40</f>
        <v>🟢 Comprendido</v>
      </c>
      <c r="N30" s="20" t="str">
        <f>'Mapa de estudio'!H40</f>
        <v>Baja</v>
      </c>
    </row>
    <row r="31" spans="1:14">
      <c r="J31" s="20" t="str">
        <f>'Mapa de estudio'!A42</f>
        <v>2.2</v>
      </c>
      <c r="K31" s="20" t="str">
        <f t="shared" si="0"/>
        <v>2</v>
      </c>
      <c r="L31" s="21" t="str">
        <f>'Mapa de estudio'!C42</f>
        <v>Fuzzy / difuso</v>
      </c>
      <c r="M31" s="20" t="str">
        <f>'Mapa de estudio'!E42</f>
        <v>🟢 Comprendido</v>
      </c>
      <c r="N31" s="20" t="str">
        <f>'Mapa de estudio'!H42</f>
        <v>Baja</v>
      </c>
    </row>
    <row r="32" spans="1:14">
      <c r="J32" s="20" t="str">
        <f>'Mapa de estudio'!A43</f>
        <v>2.3</v>
      </c>
      <c r="K32" s="20" t="str">
        <f t="shared" si="0"/>
        <v>2</v>
      </c>
      <c r="L32" s="21" t="str">
        <f>'Mapa de estudio'!C43</f>
        <v>Crisp / nítido</v>
      </c>
      <c r="M32" s="20" t="str">
        <f>'Mapa de estudio'!E43</f>
        <v>🟢 Comprendido</v>
      </c>
      <c r="N32" s="20" t="str">
        <f>'Mapa de estudio'!H43</f>
        <v>Baja</v>
      </c>
    </row>
    <row r="33" spans="1:14">
      <c r="J33" s="20" t="str">
        <f>'Mapa de estudio'!A44</f>
        <v>2.4</v>
      </c>
      <c r="K33" s="20" t="str">
        <f t="shared" si="0"/>
        <v>2</v>
      </c>
      <c r="L33" s="21" t="str">
        <f>'Mapa de estudio'!C44</f>
        <v>Fuzzy vs. Crisp</v>
      </c>
      <c r="M33" s="20" t="str">
        <f>'Mapa de estudio'!E44</f>
        <v>🟢 Firme</v>
      </c>
      <c r="N33" s="20" t="str">
        <f>'Mapa de estudio'!H44</f>
        <v>Baja</v>
      </c>
    </row>
    <row r="34" spans="1:14">
      <c r="J34" s="20" t="str">
        <f>'Mapa de estudio'!A45</f>
        <v>2.5</v>
      </c>
      <c r="K34" s="20" t="str">
        <f t="shared" si="0"/>
        <v>2</v>
      </c>
      <c r="L34" s="21" t="str">
        <f>'Mapa de estudio'!C45</f>
        <v>Conjuntos borrosos</v>
      </c>
      <c r="M34" s="20" t="str">
        <f>'Mapa de estudio'!E45</f>
        <v>🟢 Comprendido</v>
      </c>
      <c r="N34" s="20" t="str">
        <f>'Mapa de estudio'!H45</f>
        <v>Media</v>
      </c>
    </row>
    <row r="35" spans="1:14">
      <c r="J35" s="20" t="str">
        <f>'Mapa de estudio'!A46</f>
        <v>2.6</v>
      </c>
      <c r="K35" s="20" t="str">
        <f t="shared" si="0"/>
        <v>2</v>
      </c>
      <c r="L35" s="21" t="str">
        <f>'Mapa de estudio'!C46</f>
        <v>Función de pertenencia μ</v>
      </c>
      <c r="M35" s="20" t="str">
        <f>'Mapa de estudio'!E46</f>
        <v>🟢 Comprendido</v>
      </c>
      <c r="N35" s="20" t="str">
        <f>'Mapa de estudio'!H46</f>
        <v>Alta</v>
      </c>
    </row>
    <row r="36" spans="1:14">
      <c r="J36" s="20" t="str">
        <f>'Mapa de estudio'!A47</f>
        <v>2.7</v>
      </c>
      <c r="K36" s="20" t="str">
        <f t="shared" si="0"/>
        <v>2</v>
      </c>
      <c r="L36" s="21" t="str">
        <f>'Mapa de estudio'!C47</f>
        <v>Grado de pertenencia</v>
      </c>
      <c r="M36" s="20" t="str">
        <f>'Mapa de estudio'!E47</f>
        <v>🟢 Comprendido</v>
      </c>
      <c r="N36" s="20" t="str">
        <f>'Mapa de estudio'!H47</f>
        <v>Alta</v>
      </c>
    </row>
    <row r="37" spans="1:14">
      <c r="J37" s="20" t="str">
        <f>'Mapa de estudio'!A48</f>
        <v>2.8</v>
      </c>
      <c r="K37" s="20" t="str">
        <f t="shared" si="0"/>
        <v>2</v>
      </c>
      <c r="L37" s="21" t="str">
        <f>'Mapa de estudio'!C48</f>
        <v>Universo de discurso</v>
      </c>
      <c r="M37" s="20" t="str">
        <f>'Mapa de estudio'!E48</f>
        <v>🟢 Comprendido</v>
      </c>
      <c r="N37" s="20" t="str">
        <f>'Mapa de estudio'!H48</f>
        <v>Media</v>
      </c>
    </row>
    <row r="38" spans="1:14">
      <c r="A38" s="35" t="s">
        <v>582</v>
      </c>
      <c r="B38" s="32"/>
      <c r="C38" s="32"/>
      <c r="D38" s="32"/>
      <c r="E38" s="32"/>
      <c r="F38" s="32"/>
      <c r="G38" s="32"/>
      <c r="H38" s="32"/>
      <c r="J38" s="20" t="str">
        <f>'Mapa de estudio'!A49</f>
        <v>2.9</v>
      </c>
      <c r="K38" s="20" t="str">
        <f t="shared" si="0"/>
        <v>2</v>
      </c>
      <c r="L38" s="21" t="str">
        <f>'Mapa de estudio'!C49</f>
        <v>Soporte</v>
      </c>
      <c r="M38" s="20" t="str">
        <f>'Mapa de estudio'!E49</f>
        <v>🔴 Débil</v>
      </c>
      <c r="N38" s="20" t="str">
        <f>'Mapa de estudio'!H49</f>
        <v>Media</v>
      </c>
    </row>
    <row r="39" spans="1:14">
      <c r="A39" s="32"/>
      <c r="B39" s="32"/>
      <c r="C39" s="32"/>
      <c r="D39" s="32"/>
      <c r="E39" s="32"/>
      <c r="F39" s="32"/>
      <c r="G39" s="32"/>
      <c r="H39" s="32"/>
      <c r="J39" s="20" t="str">
        <f>'Mapa de estudio'!A50</f>
        <v>2.10</v>
      </c>
      <c r="K39" s="20" t="str">
        <f t="shared" si="0"/>
        <v>2</v>
      </c>
      <c r="L39" s="21" t="str">
        <f>'Mapa de estudio'!C50</f>
        <v>Núcleo</v>
      </c>
      <c r="M39" s="20" t="str">
        <f>'Mapa de estudio'!E50</f>
        <v>🟠 Parcial</v>
      </c>
      <c r="N39" s="20" t="str">
        <f>'Mapa de estudio'!H50</f>
        <v>Media</v>
      </c>
    </row>
    <row r="40" spans="1:14">
      <c r="A40" s="32"/>
      <c r="B40" s="32"/>
      <c r="C40" s="32"/>
      <c r="D40" s="32"/>
      <c r="E40" s="32"/>
      <c r="F40" s="32"/>
      <c r="G40" s="32"/>
      <c r="H40" s="32"/>
      <c r="J40" s="20" t="str">
        <f>'Mapa de estudio'!A51</f>
        <v>2.11</v>
      </c>
      <c r="K40" s="20" t="str">
        <f t="shared" si="0"/>
        <v>2</v>
      </c>
      <c r="L40" s="21" t="str">
        <f>'Mapa de estudio'!C51</f>
        <v>Altura</v>
      </c>
      <c r="M40" s="20" t="str">
        <f>'Mapa de estudio'!E51</f>
        <v>🟡 Repasar</v>
      </c>
      <c r="N40" s="20" t="str">
        <f>'Mapa de estudio'!H51</f>
        <v>Media</v>
      </c>
    </row>
    <row r="41" spans="1:14">
      <c r="J41" s="20" t="str">
        <f>'Mapa de estudio'!A52</f>
        <v>2.12</v>
      </c>
      <c r="K41" s="20" t="str">
        <f t="shared" si="0"/>
        <v>2</v>
      </c>
      <c r="L41" s="21" t="str">
        <f>'Mapa de estudio'!C52</f>
        <v>α-cortes</v>
      </c>
      <c r="M41" s="20" t="str">
        <f>'Mapa de estudio'!E52</f>
        <v>🟡 Repasar</v>
      </c>
      <c r="N41" s="20" t="str">
        <f>'Mapa de estudio'!H52</f>
        <v>Media</v>
      </c>
    </row>
    <row r="42" spans="1:14" ht="15" customHeight="1">
      <c r="A42" s="33" t="s">
        <v>583</v>
      </c>
      <c r="B42" s="32"/>
      <c r="C42" s="32"/>
      <c r="D42" s="32"/>
      <c r="E42" s="32"/>
      <c r="F42" s="32"/>
      <c r="G42" s="32"/>
      <c r="H42" s="32"/>
      <c r="J42" s="20" t="str">
        <f>'Mapa de estudio'!A53</f>
        <v>2.13</v>
      </c>
      <c r="K42" s="20" t="str">
        <f t="shared" si="0"/>
        <v>2</v>
      </c>
      <c r="L42" s="21" t="str">
        <f>'Mapa de estudio'!C53</f>
        <v>Cardinalidad</v>
      </c>
      <c r="M42" s="20" t="str">
        <f>'Mapa de estudio'!E53</f>
        <v>🟡 Repasar</v>
      </c>
      <c r="N42" s="20" t="str">
        <f>'Mapa de estudio'!H53</f>
        <v>Media</v>
      </c>
    </row>
    <row r="43" spans="1:14" ht="15" customHeight="1">
      <c r="A43" s="11" t="s">
        <v>1</v>
      </c>
      <c r="B43" s="11" t="s">
        <v>584</v>
      </c>
      <c r="C43" s="11" t="s">
        <v>585</v>
      </c>
      <c r="D43" s="11" t="s">
        <v>586</v>
      </c>
      <c r="E43" s="11" t="s">
        <v>143</v>
      </c>
      <c r="F43" s="11" t="s">
        <v>343</v>
      </c>
      <c r="G43" s="11" t="s">
        <v>182</v>
      </c>
      <c r="H43" s="11" t="s">
        <v>587</v>
      </c>
      <c r="J43" s="20" t="str">
        <f>'Mapa de estudio'!A54</f>
        <v>2.14</v>
      </c>
      <c r="K43" s="20" t="str">
        <f t="shared" si="0"/>
        <v>2</v>
      </c>
      <c r="L43" s="21" t="str">
        <f>'Mapa de estudio'!C54</f>
        <v>Operadores borrosos</v>
      </c>
      <c r="M43" s="20" t="str">
        <f>'Mapa de estudio'!E54</f>
        <v>🟡 Repasar</v>
      </c>
      <c r="N43" s="20" t="str">
        <f>'Mapa de estudio'!H54</f>
        <v>Alta</v>
      </c>
    </row>
    <row r="44" spans="1:14" ht="28.5" customHeight="1">
      <c r="A44" s="12" t="s">
        <v>11</v>
      </c>
      <c r="B44" s="13">
        <f>COUNTIF('Mapa de estudio'!$B$2:$B$171,$A44)</f>
        <v>37</v>
      </c>
      <c r="C44" s="13">
        <f>COUNTIFS('Mapa de estudio'!$B$2:$B$171,$A44,'Mapa de estudio'!$E$2:$E$171,"🟢 Firme")+COUNTIFS('Mapa de estudio'!$B$2:$B$171,$A44,'Mapa de estudio'!$E$2:$E$171,"🟢 Comprendido")</f>
        <v>35</v>
      </c>
      <c r="D44" s="13">
        <f>COUNTIFS('Mapa de estudio'!$B$2:$B$171,$A44,'Mapa de estudio'!$E$2:$E$171,"🟠 Iniciado")+COUNTIFS('Mapa de estudio'!$B$2:$B$171,$A44,'Mapa de estudio'!$E$2:$E$171,"🟠 Parcial")</f>
        <v>1</v>
      </c>
      <c r="E44" s="13">
        <f>COUNTIFS('Mapa de estudio'!$B$2:$B$171,$A44,'Mapa de estudio'!$E$2:$E$171,"🟡 Repasar")</f>
        <v>1</v>
      </c>
      <c r="F44" s="13">
        <f>COUNTIFS('Mapa de estudio'!$B$2:$B$171,$A44,'Mapa de estudio'!$E$2:$E$171,"⚪ Pendiente")</f>
        <v>0</v>
      </c>
      <c r="G44" s="13">
        <f>COUNTIFS('Mapa de estudio'!$B$2:$B$171,$A44,'Mapa de estudio'!$E$2:$E$171,"🔴 Débil")</f>
        <v>0</v>
      </c>
      <c r="H44" s="14">
        <f t="shared" ref="H44:H49" si="1">IFERROR(C44/B44,0)</f>
        <v>0.94594594594594594</v>
      </c>
      <c r="J44" s="20" t="str">
        <f>'Mapa de estudio'!A60</f>
        <v>2.15</v>
      </c>
      <c r="K44" s="20" t="str">
        <f t="shared" si="0"/>
        <v>2</v>
      </c>
      <c r="L44" s="21" t="str">
        <f>'Mapa de estudio'!C60</f>
        <v>Principio de extensión</v>
      </c>
      <c r="M44" s="20" t="str">
        <f>'Mapa de estudio'!E60</f>
        <v>🟡 Repasar</v>
      </c>
      <c r="N44" s="20" t="str">
        <f>'Mapa de estudio'!H60</f>
        <v>Media</v>
      </c>
    </row>
    <row r="45" spans="1:14" ht="28.5" customHeight="1">
      <c r="A45" s="12" t="s">
        <v>146</v>
      </c>
      <c r="B45" s="13">
        <f>COUNTIF('Mapa de estudio'!$B$2:$B$171,$A45)</f>
        <v>26</v>
      </c>
      <c r="C45" s="13">
        <f>COUNTIFS('Mapa de estudio'!$B$2:$B$171,$A45,'Mapa de estudio'!$E$2:$E$171,"🟢 Firme")+COUNTIFS('Mapa de estudio'!$B$2:$B$171,$A45,'Mapa de estudio'!$E$2:$E$171,"🟢 Comprendido")</f>
        <v>9</v>
      </c>
      <c r="D45" s="13">
        <f>COUNTIFS('Mapa de estudio'!$B$2:$B$171,$A45,'Mapa de estudio'!$E$2:$E$171,"🟠 Iniciado")+COUNTIFS('Mapa de estudio'!$B$2:$B$171,$A45,'Mapa de estudio'!$E$2:$E$171,"🟠 Parcial")</f>
        <v>2</v>
      </c>
      <c r="E45" s="13">
        <f>COUNTIFS('Mapa de estudio'!$B$2:$B$171,$A45,'Mapa de estudio'!$E$2:$E$171,"🟡 Repasar")</f>
        <v>14</v>
      </c>
      <c r="F45" s="13">
        <f>COUNTIFS('Mapa de estudio'!$B$2:$B$171,$A45,'Mapa de estudio'!$E$2:$E$171,"⚪ Pendiente")</f>
        <v>0</v>
      </c>
      <c r="G45" s="13">
        <f>COUNTIFS('Mapa de estudio'!$B$2:$B$171,$A45,'Mapa de estudio'!$E$2:$E$171,"🔴 Débil")</f>
        <v>1</v>
      </c>
      <c r="H45" s="14">
        <f t="shared" si="1"/>
        <v>0.34615384615384615</v>
      </c>
      <c r="J45" s="20" t="str">
        <f>'Mapa de estudio'!A61</f>
        <v>2.16</v>
      </c>
      <c r="K45" s="20" t="str">
        <f t="shared" si="0"/>
        <v>2</v>
      </c>
      <c r="L45" s="21" t="str">
        <f>'Mapa de estudio'!C61</f>
        <v>Relaciones borrosas</v>
      </c>
      <c r="M45" s="20" t="str">
        <f>'Mapa de estudio'!E61</f>
        <v>🟡 Repasar</v>
      </c>
      <c r="N45" s="20" t="str">
        <f>'Mapa de estudio'!H61</f>
        <v>Alta</v>
      </c>
    </row>
    <row r="46" spans="1:14" ht="28.5" customHeight="1">
      <c r="A46" s="12" t="s">
        <v>231</v>
      </c>
      <c r="B46" s="13">
        <f>COUNTIF('Mapa de estudio'!$B$2:$B$171,$A46)</f>
        <v>28</v>
      </c>
      <c r="C46" s="13">
        <f>COUNTIFS('Mapa de estudio'!$B$2:$B$171,$A46,'Mapa de estudio'!$E$2:$E$171,"🟢 Firme")+COUNTIFS('Mapa de estudio'!$B$2:$B$171,$A46,'Mapa de estudio'!$E$2:$E$171,"🟢 Comprendido")</f>
        <v>22</v>
      </c>
      <c r="D46" s="13">
        <f>COUNTIFS('Mapa de estudio'!$B$2:$B$171,$A46,'Mapa de estudio'!$E$2:$E$171,"🟠 Iniciado")+COUNTIFS('Mapa de estudio'!$B$2:$B$171,$A46,'Mapa de estudio'!$E$2:$E$171,"🟠 Parcial")</f>
        <v>0</v>
      </c>
      <c r="E46" s="13">
        <f>COUNTIFS('Mapa de estudio'!$B$2:$B$171,$A46,'Mapa de estudio'!$E$2:$E$171,"🟡 Repasar")</f>
        <v>6</v>
      </c>
      <c r="F46" s="13">
        <f>COUNTIFS('Mapa de estudio'!$B$2:$B$171,$A46,'Mapa de estudio'!$E$2:$E$171,"⚪ Pendiente")</f>
        <v>0</v>
      </c>
      <c r="G46" s="13">
        <f>COUNTIFS('Mapa de estudio'!$B$2:$B$171,$A46,'Mapa de estudio'!$E$2:$E$171,"🔴 Débil")</f>
        <v>0</v>
      </c>
      <c r="H46" s="14">
        <f t="shared" si="1"/>
        <v>0.7857142857142857</v>
      </c>
      <c r="J46" s="18" t="str">
        <f>'Mapa de estudio'!A66</f>
        <v>3.1</v>
      </c>
      <c r="K46" s="18" t="str">
        <f t="shared" si="0"/>
        <v>3</v>
      </c>
      <c r="L46" s="19" t="str">
        <f>'Mapa de estudio'!C66</f>
        <v>Qué significa razonar aproximadamente</v>
      </c>
      <c r="M46" s="18" t="str">
        <f>'Mapa de estudio'!E66</f>
        <v>🟢 Comprendido</v>
      </c>
      <c r="N46" s="18" t="str">
        <f>'Mapa de estudio'!H66</f>
        <v>Baja</v>
      </c>
    </row>
    <row r="47" spans="1:14">
      <c r="A47" s="12" t="s">
        <v>319</v>
      </c>
      <c r="B47" s="13">
        <f>COUNTIF('Mapa de estudio'!$B$2:$B$171,$A47)</f>
        <v>27</v>
      </c>
      <c r="C47" s="13">
        <f>COUNTIFS('Mapa de estudio'!$B$2:$B$171,$A47,'Mapa de estudio'!$E$2:$E$171,"🟢 Firme")+COUNTIFS('Mapa de estudio'!$B$2:$B$171,$A47,'Mapa de estudio'!$E$2:$E$171,"🟢 Comprendido")</f>
        <v>9</v>
      </c>
      <c r="D47" s="13">
        <f>COUNTIFS('Mapa de estudio'!$B$2:$B$171,$A47,'Mapa de estudio'!$E$2:$E$171,"🟠 Iniciado")+COUNTIFS('Mapa de estudio'!$B$2:$B$171,$A47,'Mapa de estudio'!$E$2:$E$171,"🟠 Parcial")</f>
        <v>3</v>
      </c>
      <c r="E47" s="13">
        <f>COUNTIFS('Mapa de estudio'!$B$2:$B$171,$A47,'Mapa de estudio'!$E$2:$E$171,"🟡 Repasar")</f>
        <v>10</v>
      </c>
      <c r="F47" s="13">
        <f>COUNTIFS('Mapa de estudio'!$B$2:$B$171,$A47,'Mapa de estudio'!$E$2:$E$171,"⚪ Pendiente")</f>
        <v>5</v>
      </c>
      <c r="G47" s="13">
        <f>COUNTIFS('Mapa de estudio'!$B$2:$B$171,$A47,'Mapa de estudio'!$E$2:$E$171,"🔴 Débil")</f>
        <v>0</v>
      </c>
      <c r="H47" s="14">
        <f t="shared" si="1"/>
        <v>0.33333333333333331</v>
      </c>
      <c r="J47" s="18" t="str">
        <f>'Mapa de estudio'!A68</f>
        <v>3.2</v>
      </c>
      <c r="K47" s="18" t="str">
        <f t="shared" si="0"/>
        <v>3</v>
      </c>
      <c r="L47" s="19" t="str">
        <f>'Mapa de estudio'!C68</f>
        <v>Inferencia</v>
      </c>
      <c r="M47" s="18" t="str">
        <f>'Mapa de estudio'!E68</f>
        <v>🟢 Comprendido</v>
      </c>
      <c r="N47" s="18" t="str">
        <f>'Mapa de estudio'!H68</f>
        <v>Baja</v>
      </c>
    </row>
    <row r="48" spans="1:14">
      <c r="A48" s="12" t="s">
        <v>405</v>
      </c>
      <c r="B48" s="13">
        <f>COUNTIF('Mapa de estudio'!$B$2:$B$171,$A48)</f>
        <v>52</v>
      </c>
      <c r="C48" s="13">
        <f>COUNTIFS('Mapa de estudio'!$B$2:$B$171,$A48,'Mapa de estudio'!$E$2:$E$171,"🟢 Firme")+COUNTIFS('Mapa de estudio'!$B$2:$B$171,$A48,'Mapa de estudio'!$E$2:$E$171,"🟢 Comprendido")</f>
        <v>25</v>
      </c>
      <c r="D48" s="13">
        <f>COUNTIFS('Mapa de estudio'!$B$2:$B$171,$A48,'Mapa de estudio'!$E$2:$E$171,"🟠 Iniciado")+COUNTIFS('Mapa de estudio'!$B$2:$B$171,$A48,'Mapa de estudio'!$E$2:$E$171,"🟠 Parcial")</f>
        <v>4</v>
      </c>
      <c r="E48" s="13">
        <f>COUNTIFS('Mapa de estudio'!$B$2:$B$171,$A48,'Mapa de estudio'!$E$2:$E$171,"🟡 Repasar")</f>
        <v>4</v>
      </c>
      <c r="F48" s="13">
        <f>COUNTIFS('Mapa de estudio'!$B$2:$B$171,$A48,'Mapa de estudio'!$E$2:$E$171,"⚪ Pendiente")</f>
        <v>18</v>
      </c>
      <c r="G48" s="13">
        <f>COUNTIFS('Mapa de estudio'!$B$2:$B$171,$A48,'Mapa de estudio'!$E$2:$E$171,"🔴 Débil")</f>
        <v>1</v>
      </c>
      <c r="H48" s="14">
        <f t="shared" si="1"/>
        <v>0.48076923076923078</v>
      </c>
      <c r="J48" s="18" t="str">
        <f>'Mapa de estudio'!A73</f>
        <v>3.3</v>
      </c>
      <c r="K48" s="18" t="str">
        <f t="shared" si="0"/>
        <v>3</v>
      </c>
      <c r="L48" s="19" t="str">
        <f>'Mapa de estudio'!C73</f>
        <v>Inferencia vs. aprendizaje</v>
      </c>
      <c r="M48" s="18" t="str">
        <f>'Mapa de estudio'!E73</f>
        <v>🟢 Firme</v>
      </c>
      <c r="N48" s="18" t="str">
        <f>'Mapa de estudio'!H73</f>
        <v>Baja</v>
      </c>
    </row>
    <row r="49" spans="1:14" ht="15" customHeight="1">
      <c r="A49" s="15" t="s">
        <v>588</v>
      </c>
      <c r="B49" s="16">
        <f t="shared" ref="B49:G49" si="2">SUM(B44:B48)</f>
        <v>170</v>
      </c>
      <c r="C49" s="16">
        <f t="shared" si="2"/>
        <v>100</v>
      </c>
      <c r="D49" s="16">
        <f t="shared" si="2"/>
        <v>10</v>
      </c>
      <c r="E49" s="16">
        <f t="shared" si="2"/>
        <v>35</v>
      </c>
      <c r="F49" s="16">
        <f t="shared" si="2"/>
        <v>23</v>
      </c>
      <c r="G49" s="16">
        <f t="shared" si="2"/>
        <v>2</v>
      </c>
      <c r="H49" s="17">
        <f t="shared" si="1"/>
        <v>0.58823529411764708</v>
      </c>
      <c r="J49" s="18" t="str">
        <f>'Mapa de estudio'!A76</f>
        <v>3.4</v>
      </c>
      <c r="K49" s="18" t="str">
        <f t="shared" si="0"/>
        <v>3</v>
      </c>
      <c r="L49" s="19" t="str">
        <f>'Mapa de estudio'!C76</f>
        <v>Reglas lingüísticas</v>
      </c>
      <c r="M49" s="18" t="str">
        <f>'Mapa de estudio'!E76</f>
        <v>🟢 Firme</v>
      </c>
      <c r="N49" s="18" t="str">
        <f>'Mapa de estudio'!H76</f>
        <v>Media</v>
      </c>
    </row>
    <row r="50" spans="1:14">
      <c r="A50" s="35" t="s">
        <v>589</v>
      </c>
      <c r="B50" s="32"/>
      <c r="C50" s="32"/>
      <c r="D50" s="32"/>
      <c r="E50" s="32"/>
      <c r="F50" s="32"/>
      <c r="G50" s="32"/>
      <c r="H50" s="32"/>
      <c r="J50" s="18" t="str">
        <f>'Mapa de estudio'!A78</f>
        <v>3.5</v>
      </c>
      <c r="K50" s="18" t="str">
        <f t="shared" si="0"/>
        <v>3</v>
      </c>
      <c r="L50" s="19" t="str">
        <f>'Mapa de estudio'!C78</f>
        <v>Modificadores / hedges</v>
      </c>
      <c r="M50" s="18" t="str">
        <f>'Mapa de estudio'!E78</f>
        <v>🟢 Comprendido</v>
      </c>
      <c r="N50" s="18" t="str">
        <f>'Mapa de estudio'!H78</f>
        <v>Media</v>
      </c>
    </row>
    <row r="51" spans="1:14">
      <c r="J51" s="18" t="str">
        <f>'Mapa de estudio'!A82</f>
        <v>3.6</v>
      </c>
      <c r="K51" s="18" t="str">
        <f t="shared" si="0"/>
        <v>3</v>
      </c>
      <c r="L51" s="19" t="str">
        <f>'Mapa de estudio'!C82</f>
        <v>Modus Ponens Generalizado</v>
      </c>
      <c r="M51" s="18" t="str">
        <f>'Mapa de estudio'!E82</f>
        <v>🟢 Comprendido</v>
      </c>
      <c r="N51" s="18" t="str">
        <f>'Mapa de estudio'!H82</f>
        <v>Alta</v>
      </c>
    </row>
    <row r="52" spans="1:14">
      <c r="J52" s="18" t="str">
        <f>'Mapa de estudio'!A87</f>
        <v>3.7</v>
      </c>
      <c r="K52" s="18" t="str">
        <f t="shared" si="0"/>
        <v>3</v>
      </c>
      <c r="L52" s="19" t="str">
        <f>'Mapa de estudio'!C87</f>
        <v>Implicaciones borrosas</v>
      </c>
      <c r="M52" s="18" t="str">
        <f>'Mapa de estudio'!E87</f>
        <v>🟡 Repasar</v>
      </c>
      <c r="N52" s="18" t="str">
        <f>'Mapa de estudio'!H87</f>
        <v>Alta</v>
      </c>
    </row>
    <row r="53" spans="1:14">
      <c r="J53" s="18" t="str">
        <f>'Mapa de estudio'!A91</f>
        <v>3.8</v>
      </c>
      <c r="K53" s="18" t="str">
        <f t="shared" si="0"/>
        <v>3</v>
      </c>
      <c r="L53" s="19" t="str">
        <f>'Mapa de estudio'!C91</f>
        <v>Modus Tollens Generalizado</v>
      </c>
      <c r="M53" s="18" t="str">
        <f>'Mapa de estudio'!E91</f>
        <v>🟡 Repasar</v>
      </c>
      <c r="N53" s="18" t="str">
        <f>'Mapa de estudio'!H91</f>
        <v>Media</v>
      </c>
    </row>
    <row r="54" spans="1:14">
      <c r="J54" s="18" t="str">
        <f>'Mapa de estudio'!A92</f>
        <v>3.9</v>
      </c>
      <c r="K54" s="18" t="str">
        <f t="shared" si="0"/>
        <v>3</v>
      </c>
      <c r="L54" s="19" t="str">
        <f>'Mapa de estudio'!C92</f>
        <v>Tipos de proposiciones borrosas</v>
      </c>
      <c r="M54" s="18" t="str">
        <f>'Mapa de estudio'!E92</f>
        <v>🟡 Repasar</v>
      </c>
      <c r="N54" s="18" t="str">
        <f>'Mapa de estudio'!H92</f>
        <v>Media</v>
      </c>
    </row>
    <row r="55" spans="1:14">
      <c r="J55" s="20" t="str">
        <f>'Mapa de estudio'!A94</f>
        <v>4.1</v>
      </c>
      <c r="K55" s="20" t="str">
        <f t="shared" si="0"/>
        <v>4</v>
      </c>
      <c r="L55" s="21" t="str">
        <f>'Mapa de estudio'!C94</f>
        <v>Idea general</v>
      </c>
      <c r="M55" s="20" t="str">
        <f>'Mapa de estudio'!E94</f>
        <v>🟢 Comprendido</v>
      </c>
      <c r="N55" s="20" t="str">
        <f>'Mapa de estudio'!H94</f>
        <v>Baja</v>
      </c>
    </row>
    <row r="56" spans="1:14">
      <c r="J56" s="20" t="str">
        <f>'Mapa de estudio'!A96</f>
        <v>4.2</v>
      </c>
      <c r="K56" s="20" t="str">
        <f t="shared" si="0"/>
        <v>4</v>
      </c>
      <c r="L56" s="21" t="str">
        <f>'Mapa de estudio'!C96</f>
        <v>Arquitectura completa</v>
      </c>
      <c r="M56" s="20" t="str">
        <f>'Mapa de estudio'!E96</f>
        <v>🟢 Comprendido</v>
      </c>
      <c r="N56" s="20" t="str">
        <f>'Mapa de estudio'!H96</f>
        <v>Alta</v>
      </c>
    </row>
    <row r="57" spans="1:14">
      <c r="J57" s="20" t="str">
        <f>'Mapa de estudio'!A103</f>
        <v>4.3</v>
      </c>
      <c r="K57" s="20" t="str">
        <f t="shared" ref="K57:K74" si="3">LEFT(J57,FIND(".",J57)-1)</f>
        <v>4</v>
      </c>
      <c r="L57" s="21" t="str">
        <f>'Mapa de estudio'!C103</f>
        <v>Mamdani</v>
      </c>
      <c r="M57" s="20" t="str">
        <f>'Mapa de estudio'!E103</f>
        <v>🟡 Repasar</v>
      </c>
      <c r="N57" s="20" t="str">
        <f>'Mapa de estudio'!H103</f>
        <v>Alta</v>
      </c>
    </row>
    <row r="58" spans="1:14">
      <c r="J58" s="20" t="str">
        <f>'Mapa de estudio'!A108</f>
        <v>4.4</v>
      </c>
      <c r="K58" s="20" t="str">
        <f t="shared" si="3"/>
        <v>4</v>
      </c>
      <c r="L58" s="21" t="str">
        <f>'Mapa de estudio'!C108</f>
        <v>Desborrosificación</v>
      </c>
      <c r="M58" s="20" t="str">
        <f>'Mapa de estudio'!E108</f>
        <v>🟢 Comprendido</v>
      </c>
      <c r="N58" s="20" t="str">
        <f>'Mapa de estudio'!H108</f>
        <v>Baja</v>
      </c>
    </row>
    <row r="59" spans="1:14">
      <c r="J59" s="20" t="str">
        <f>'Mapa de estudio'!A110</f>
        <v>4.5</v>
      </c>
      <c r="K59" s="20" t="str">
        <f t="shared" si="3"/>
        <v>4</v>
      </c>
      <c r="L59" s="21" t="str">
        <f>'Mapa de estudio'!C110</f>
        <v>Centro de Gravedad / COG</v>
      </c>
      <c r="M59" s="20" t="str">
        <f>'Mapa de estudio'!E110</f>
        <v>🟠 Iniciado</v>
      </c>
      <c r="N59" s="20" t="str">
        <f>'Mapa de estudio'!H110</f>
        <v>Media</v>
      </c>
    </row>
    <row r="60" spans="1:14">
      <c r="J60" s="20" t="str">
        <f>'Mapa de estudio'!A113</f>
        <v>4.6</v>
      </c>
      <c r="K60" s="20" t="str">
        <f t="shared" si="3"/>
        <v>4</v>
      </c>
      <c r="L60" s="21" t="str">
        <f>'Mapa de estudio'!C113</f>
        <v>Criterio del máximo</v>
      </c>
      <c r="M60" s="20" t="str">
        <f>'Mapa de estudio'!E113</f>
        <v>⚪ Pendiente</v>
      </c>
      <c r="N60" s="20" t="str">
        <f>'Mapa de estudio'!H113</f>
        <v>Media</v>
      </c>
    </row>
    <row r="61" spans="1:14">
      <c r="J61" s="20" t="str">
        <f>'Mapa de estudio'!A114</f>
        <v>4.7</v>
      </c>
      <c r="K61" s="20" t="str">
        <f t="shared" si="3"/>
        <v>4</v>
      </c>
      <c r="L61" s="21" t="str">
        <f>'Mapa de estudio'!C114</f>
        <v>Media de Máximos / MOM</v>
      </c>
      <c r="M61" s="20" t="str">
        <f>'Mapa de estudio'!E114</f>
        <v>🟠 Iniciado</v>
      </c>
      <c r="N61" s="20" t="str">
        <f>'Mapa de estudio'!H114</f>
        <v>Media</v>
      </c>
    </row>
    <row r="62" spans="1:14">
      <c r="J62" s="20" t="str">
        <f>'Mapa de estudio'!A117</f>
        <v>4.8</v>
      </c>
      <c r="K62" s="20" t="str">
        <f t="shared" si="3"/>
        <v>4</v>
      </c>
      <c r="L62" s="21" t="str">
        <f>'Mapa de estudio'!C117</f>
        <v>Comparación COG vs. MOM</v>
      </c>
      <c r="M62" s="20" t="str">
        <f>'Mapa de estudio'!E117</f>
        <v>⚪ Pendiente</v>
      </c>
      <c r="N62" s="20" t="str">
        <f>'Mapa de estudio'!H117</f>
        <v>Media</v>
      </c>
    </row>
    <row r="63" spans="1:14">
      <c r="J63" s="20" t="str">
        <f>'Mapa de estudio'!A118</f>
        <v>4.9</v>
      </c>
      <c r="K63" s="20" t="str">
        <f t="shared" si="3"/>
        <v>4</v>
      </c>
      <c r="L63" s="21" t="str">
        <f>'Mapa de estudio'!C118</f>
        <v>Takagi-Sugeno</v>
      </c>
      <c r="M63" s="20" t="str">
        <f>'Mapa de estudio'!E118</f>
        <v>⚪ Pendiente</v>
      </c>
      <c r="N63" s="20" t="str">
        <f>'Mapa de estudio'!H118</f>
        <v>Alta</v>
      </c>
    </row>
    <row r="64" spans="1:14">
      <c r="J64" s="20" t="str">
        <f>'Mapa de estudio'!A119</f>
        <v>4.10</v>
      </c>
      <c r="K64" s="20" t="str">
        <f t="shared" si="3"/>
        <v>4</v>
      </c>
      <c r="L64" s="21" t="str">
        <f>'Mapa de estudio'!C119</f>
        <v>Mamdani vs. Sugeno</v>
      </c>
      <c r="M64" s="20" t="str">
        <f>'Mapa de estudio'!E119</f>
        <v>⚪ Pendiente</v>
      </c>
      <c r="N64" s="20" t="str">
        <f>'Mapa de estudio'!H119</f>
        <v>Alta</v>
      </c>
    </row>
    <row r="65" spans="10:14">
      <c r="J65" s="18" t="str">
        <f>'Mapa de estudio'!A121</f>
        <v>5.1</v>
      </c>
      <c r="K65" s="18" t="str">
        <f t="shared" si="3"/>
        <v>5</v>
      </c>
      <c r="L65" s="19" t="str">
        <f>'Mapa de estudio'!C121</f>
        <v>CLIPS clásico</v>
      </c>
      <c r="M65" s="18" t="str">
        <f>'Mapa de estudio'!E121</f>
        <v>⚪ Pendiente</v>
      </c>
      <c r="N65" s="18" t="str">
        <f>'Mapa de estudio'!H121</f>
        <v>Alta</v>
      </c>
    </row>
    <row r="66" spans="10:14">
      <c r="J66" s="18" t="str">
        <f>'Mapa de estudio'!A127</f>
        <v>5.2</v>
      </c>
      <c r="K66" s="18" t="str">
        <f t="shared" si="3"/>
        <v>5</v>
      </c>
      <c r="L66" s="19" t="str">
        <f>'Mapa de estudio'!C127</f>
        <v>FuzzyCLIPS</v>
      </c>
      <c r="M66" s="18" t="str">
        <f>'Mapa de estudio'!E127</f>
        <v>🟠 Iniciado</v>
      </c>
      <c r="N66" s="18" t="str">
        <f>'Mapa de estudio'!H127</f>
        <v>Media</v>
      </c>
    </row>
    <row r="67" spans="10:14">
      <c r="J67" s="18" t="str">
        <f>'Mapa de estudio'!A128</f>
        <v>5.3</v>
      </c>
      <c r="K67" s="18" t="str">
        <f t="shared" si="3"/>
        <v>5</v>
      </c>
      <c r="L67" s="19" t="str">
        <f>'Mapa de estudio'!C128</f>
        <v>Reglas simples</v>
      </c>
      <c r="M67" s="18" t="str">
        <f>'Mapa de estudio'!E128</f>
        <v>🟠 Iniciado</v>
      </c>
      <c r="N67" s="18" t="str">
        <f>'Mapa de estudio'!H128</f>
        <v>Alta</v>
      </c>
    </row>
    <row r="68" spans="10:14">
      <c r="J68" s="18" t="str">
        <f>'Mapa de estudio'!A152</f>
        <v>5.4</v>
      </c>
      <c r="K68" s="18" t="str">
        <f t="shared" si="3"/>
        <v>5</v>
      </c>
      <c r="L68" s="19" t="str">
        <f>'Mapa de estudio'!C152</f>
        <v>Reglas complejas</v>
      </c>
      <c r="M68" s="18" t="str">
        <f>'Mapa de estudio'!E152</f>
        <v>🟢 Comprendido</v>
      </c>
      <c r="N68" s="18" t="str">
        <f>'Mapa de estudio'!H152</f>
        <v>Baja</v>
      </c>
    </row>
    <row r="69" spans="10:14">
      <c r="J69" s="18" t="str">
        <f>'Mapa de estudio'!A157</f>
        <v>5.5</v>
      </c>
      <c r="K69" s="18" t="str">
        <f t="shared" si="3"/>
        <v>5</v>
      </c>
      <c r="L69" s="19" t="str">
        <f>'Mapa de estudio'!C157</f>
        <v>Matemática de reglas complejas</v>
      </c>
      <c r="M69" s="18" t="str">
        <f>'Mapa de estudio'!E157</f>
        <v>⚪ Pendiente</v>
      </c>
      <c r="N69" s="18" t="str">
        <f>'Mapa de estudio'!H157</f>
        <v>Alta</v>
      </c>
    </row>
    <row r="70" spans="10:14">
      <c r="J70" s="18" t="str">
        <f>'Mapa de estudio'!A158</f>
        <v>5.6</v>
      </c>
      <c r="K70" s="18" t="str">
        <f t="shared" si="3"/>
        <v>5</v>
      </c>
      <c r="L70" s="19" t="str">
        <f>'Mapa de estudio'!C158</f>
        <v>Global Contribution</v>
      </c>
      <c r="M70" s="18" t="str">
        <f>'Mapa de estudio'!E158</f>
        <v>🟡 Repasar</v>
      </c>
      <c r="N70" s="18" t="str">
        <f>'Mapa de estudio'!H158</f>
        <v>Alta</v>
      </c>
    </row>
    <row r="71" spans="10:14">
      <c r="J71" s="18" t="str">
        <f>'Mapa de estudio'!A160</f>
        <v>5.7</v>
      </c>
      <c r="K71" s="18" t="str">
        <f t="shared" si="3"/>
        <v>5</v>
      </c>
      <c r="L71" s="19" t="str">
        <f>'Mapa de estudio'!C160</f>
        <v>Threshold Certainty Factor</v>
      </c>
      <c r="M71" s="18" t="str">
        <f>'Mapa de estudio'!E160</f>
        <v>🟢 Comprendido</v>
      </c>
      <c r="N71" s="18" t="str">
        <f>'Mapa de estudio'!H160</f>
        <v>Baja</v>
      </c>
    </row>
    <row r="72" spans="10:14">
      <c r="J72" s="18" t="str">
        <f>'Mapa de estudio'!A162</f>
        <v>5.8</v>
      </c>
      <c r="K72" s="18" t="str">
        <f t="shared" si="3"/>
        <v>5</v>
      </c>
      <c r="L72" s="19" t="str">
        <f>'Mapa de estudio'!C162</f>
        <v>CF en ASSERT</v>
      </c>
      <c r="M72" s="18" t="str">
        <f>'Mapa de estudio'!E162</f>
        <v>🟢 Comprendido</v>
      </c>
      <c r="N72" s="18" t="str">
        <f>'Mapa de estudio'!H162</f>
        <v>Baja</v>
      </c>
    </row>
    <row r="73" spans="10:14">
      <c r="J73" s="18" t="str">
        <f>'Mapa de estudio'!A164</f>
        <v>5.9</v>
      </c>
      <c r="K73" s="18" t="str">
        <f t="shared" si="3"/>
        <v>5</v>
      </c>
      <c r="L73" s="19" t="str">
        <f>'Mapa de estudio'!C164</f>
        <v>Desborrosificación en FuzzyCLIPS</v>
      </c>
      <c r="M73" s="18" t="str">
        <f>'Mapa de estudio'!E164</f>
        <v>🟠 Iniciado</v>
      </c>
      <c r="N73" s="18" t="str">
        <f>'Mapa de estudio'!H164</f>
        <v>Media</v>
      </c>
    </row>
    <row r="74" spans="10:14">
      <c r="J74" s="18" t="str">
        <f>'Mapa de estudio'!A165</f>
        <v>5.10</v>
      </c>
      <c r="K74" s="18" t="str">
        <f t="shared" si="3"/>
        <v>5</v>
      </c>
      <c r="L74" s="19" t="str">
        <f>'Mapa de estudio'!C165</f>
        <v>Práctica real</v>
      </c>
      <c r="M74" s="18" t="str">
        <f>'Mapa de estudio'!E165</f>
        <v>⚪ Pendiente</v>
      </c>
      <c r="N74" s="18" t="str">
        <f>'Mapa de estudio'!H165</f>
        <v>Alta</v>
      </c>
    </row>
  </sheetData>
  <mergeCells count="15">
    <mergeCell ref="A1:H1"/>
    <mergeCell ref="J23:N23"/>
    <mergeCell ref="A6:B6"/>
    <mergeCell ref="D9:H9"/>
    <mergeCell ref="A50:H50"/>
    <mergeCell ref="A3:H3"/>
    <mergeCell ref="E6:F6"/>
    <mergeCell ref="C6:D6"/>
    <mergeCell ref="C5:D5"/>
    <mergeCell ref="A5:B5"/>
    <mergeCell ref="G5:H5"/>
    <mergeCell ref="E5:F5"/>
    <mergeCell ref="A38:H40"/>
    <mergeCell ref="A42:H42"/>
    <mergeCell ref="G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171"/>
  <sheetViews>
    <sheetView tabSelected="1" zoomScaleNormal="100" workbookViewId="0">
      <selection activeCell="F114" sqref="F114"/>
    </sheetView>
  </sheetViews>
  <sheetFormatPr baseColWidth="10" defaultColWidth="9" defaultRowHeight="14.25" outlineLevelRow="3"/>
  <cols>
    <col min="1" max="1" width="7.5" bestFit="1" customWidth="1"/>
    <col min="2" max="2" width="31.5" bestFit="1" customWidth="1"/>
    <col min="3" max="3" width="33.875" bestFit="1" customWidth="1"/>
    <col min="4" max="4" width="5.5" bestFit="1" customWidth="1"/>
    <col min="5" max="5" width="16.25" bestFit="1" customWidth="1"/>
    <col min="6" max="6" width="255.625" bestFit="1" customWidth="1"/>
    <col min="7" max="7" width="44" customWidth="1"/>
    <col min="8" max="8" width="9" bestFit="1" customWidth="1"/>
    <col min="9" max="9" width="11" bestFit="1" customWidth="1"/>
    <col min="10" max="10" width="31.375" bestFit="1" customWidth="1"/>
  </cols>
  <sheetData>
    <row r="1" spans="1:10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0" customHeight="1">
      <c r="A2" s="5" t="s">
        <v>10</v>
      </c>
      <c r="B2" s="5" t="s">
        <v>11</v>
      </c>
      <c r="C2" s="23" t="s">
        <v>12</v>
      </c>
      <c r="D2" s="5">
        <v>0</v>
      </c>
      <c r="E2" s="5" t="s">
        <v>21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spans="1:10" ht="30" customHeight="1" outlineLevel="1">
      <c r="A3" s="24" t="s">
        <v>19</v>
      </c>
      <c r="B3" s="24" t="s">
        <v>11</v>
      </c>
      <c r="C3" s="25" t="s">
        <v>20</v>
      </c>
      <c r="D3" s="26">
        <v>1</v>
      </c>
      <c r="E3" s="26" t="s">
        <v>21</v>
      </c>
      <c r="F3" s="26" t="s">
        <v>22</v>
      </c>
      <c r="G3" s="26"/>
      <c r="H3" s="26" t="s">
        <v>23</v>
      </c>
      <c r="I3" s="26" t="s">
        <v>17</v>
      </c>
      <c r="J3" s="26" t="s">
        <v>18</v>
      </c>
    </row>
    <row r="4" spans="1:10" ht="15" customHeight="1" outlineLevel="2">
      <c r="A4" s="4" t="s">
        <v>24</v>
      </c>
      <c r="B4" s="4" t="s">
        <v>11</v>
      </c>
      <c r="C4" s="27" t="s">
        <v>25</v>
      </c>
      <c r="D4" s="4">
        <v>2</v>
      </c>
      <c r="E4" s="4" t="s">
        <v>21</v>
      </c>
      <c r="F4" s="4" t="s">
        <v>26</v>
      </c>
      <c r="G4" s="4"/>
      <c r="H4" s="4" t="s">
        <v>23</v>
      </c>
      <c r="I4" s="4" t="s">
        <v>17</v>
      </c>
      <c r="J4" s="4" t="s">
        <v>18</v>
      </c>
    </row>
    <row r="5" spans="1:10" ht="15" customHeight="1" outlineLevel="2">
      <c r="A5" s="4" t="s">
        <v>27</v>
      </c>
      <c r="B5" s="4" t="s">
        <v>11</v>
      </c>
      <c r="C5" s="27" t="s">
        <v>28</v>
      </c>
      <c r="D5" s="4">
        <v>2</v>
      </c>
      <c r="E5" s="4" t="s">
        <v>21</v>
      </c>
      <c r="F5" s="4" t="s">
        <v>29</v>
      </c>
      <c r="G5" s="4"/>
      <c r="H5" s="4" t="s">
        <v>23</v>
      </c>
      <c r="I5" s="4" t="s">
        <v>17</v>
      </c>
      <c r="J5" s="4" t="s">
        <v>18</v>
      </c>
    </row>
    <row r="6" spans="1:10" ht="15" customHeight="1" outlineLevel="2">
      <c r="A6" s="4" t="s">
        <v>30</v>
      </c>
      <c r="B6" s="4" t="s">
        <v>11</v>
      </c>
      <c r="C6" s="27" t="s">
        <v>31</v>
      </c>
      <c r="D6" s="4">
        <v>2</v>
      </c>
      <c r="E6" s="4" t="s">
        <v>21</v>
      </c>
      <c r="F6" s="4" t="s">
        <v>32</v>
      </c>
      <c r="G6" s="4"/>
      <c r="H6" s="4" t="s">
        <v>23</v>
      </c>
      <c r="I6" s="4" t="s">
        <v>17</v>
      </c>
      <c r="J6" s="4" t="s">
        <v>18</v>
      </c>
    </row>
    <row r="7" spans="1:10" ht="30" customHeight="1" outlineLevel="1">
      <c r="A7" s="24" t="s">
        <v>33</v>
      </c>
      <c r="B7" s="24" t="s">
        <v>11</v>
      </c>
      <c r="C7" s="25" t="s">
        <v>34</v>
      </c>
      <c r="D7" s="26">
        <v>1</v>
      </c>
      <c r="E7" s="26" t="s">
        <v>35</v>
      </c>
      <c r="F7" s="26" t="s">
        <v>36</v>
      </c>
      <c r="G7" s="26"/>
      <c r="H7" s="26" t="s">
        <v>23</v>
      </c>
      <c r="I7" s="26" t="s">
        <v>17</v>
      </c>
      <c r="J7" s="26" t="s">
        <v>18</v>
      </c>
    </row>
    <row r="8" spans="1:10" ht="15" customHeight="1" outlineLevel="2">
      <c r="A8" s="4" t="s">
        <v>37</v>
      </c>
      <c r="B8" s="4" t="s">
        <v>11</v>
      </c>
      <c r="C8" s="27" t="s">
        <v>38</v>
      </c>
      <c r="D8" s="4">
        <v>2</v>
      </c>
      <c r="E8" s="4" t="s">
        <v>35</v>
      </c>
      <c r="F8" s="4" t="s">
        <v>39</v>
      </c>
      <c r="G8" s="4"/>
      <c r="H8" s="4" t="s">
        <v>23</v>
      </c>
      <c r="I8" s="4" t="s">
        <v>17</v>
      </c>
      <c r="J8" s="4" t="s">
        <v>18</v>
      </c>
    </row>
    <row r="9" spans="1:10" ht="15" customHeight="1" outlineLevel="2">
      <c r="A9" s="4" t="s">
        <v>40</v>
      </c>
      <c r="B9" s="4" t="s">
        <v>11</v>
      </c>
      <c r="C9" s="27" t="s">
        <v>41</v>
      </c>
      <c r="D9" s="4">
        <v>2</v>
      </c>
      <c r="E9" s="4" t="s">
        <v>35</v>
      </c>
      <c r="F9" s="4" t="s">
        <v>42</v>
      </c>
      <c r="G9" s="4"/>
      <c r="H9" s="4" t="s">
        <v>23</v>
      </c>
      <c r="I9" s="4" t="s">
        <v>17</v>
      </c>
      <c r="J9" s="4" t="s">
        <v>18</v>
      </c>
    </row>
    <row r="10" spans="1:10" ht="30" customHeight="1" outlineLevel="1">
      <c r="A10" s="24" t="s">
        <v>43</v>
      </c>
      <c r="B10" s="24" t="s">
        <v>11</v>
      </c>
      <c r="C10" s="25" t="s">
        <v>44</v>
      </c>
      <c r="D10" s="26">
        <v>1</v>
      </c>
      <c r="E10" s="26" t="s">
        <v>21</v>
      </c>
      <c r="F10" s="26" t="s">
        <v>45</v>
      </c>
      <c r="G10" s="26" t="s">
        <v>46</v>
      </c>
      <c r="H10" s="26" t="s">
        <v>16</v>
      </c>
      <c r="I10" s="26" t="s">
        <v>17</v>
      </c>
      <c r="J10" s="26" t="s">
        <v>47</v>
      </c>
    </row>
    <row r="11" spans="1:10" ht="15" customHeight="1" outlineLevel="2">
      <c r="A11" s="4" t="s">
        <v>48</v>
      </c>
      <c r="B11" s="4" t="s">
        <v>11</v>
      </c>
      <c r="C11" s="27" t="s">
        <v>49</v>
      </c>
      <c r="D11" s="4">
        <v>2</v>
      </c>
      <c r="E11" s="4" t="s">
        <v>21</v>
      </c>
      <c r="F11" s="4" t="s">
        <v>50</v>
      </c>
      <c r="G11" s="4"/>
      <c r="H11" s="4" t="s">
        <v>23</v>
      </c>
      <c r="I11" s="4" t="s">
        <v>17</v>
      </c>
      <c r="J11" s="4" t="s">
        <v>51</v>
      </c>
    </row>
    <row r="12" spans="1:10" ht="15" customHeight="1" outlineLevel="2">
      <c r="A12" s="4" t="s">
        <v>52</v>
      </c>
      <c r="B12" s="4" t="s">
        <v>11</v>
      </c>
      <c r="C12" s="27" t="s">
        <v>53</v>
      </c>
      <c r="D12" s="4">
        <v>2</v>
      </c>
      <c r="E12" s="4" t="s">
        <v>21</v>
      </c>
      <c r="F12" s="4" t="s">
        <v>54</v>
      </c>
      <c r="G12" s="4"/>
      <c r="H12" s="4" t="s">
        <v>23</v>
      </c>
      <c r="I12" s="4" t="s">
        <v>17</v>
      </c>
      <c r="J12" s="4" t="s">
        <v>51</v>
      </c>
    </row>
    <row r="13" spans="1:10" ht="15" customHeight="1" outlineLevel="2">
      <c r="A13" s="4" t="s">
        <v>55</v>
      </c>
      <c r="B13" s="4" t="s">
        <v>11</v>
      </c>
      <c r="C13" s="27" t="s">
        <v>56</v>
      </c>
      <c r="D13" s="4">
        <v>2</v>
      </c>
      <c r="E13" s="4" t="s">
        <v>21</v>
      </c>
      <c r="F13" s="4" t="s">
        <v>57</v>
      </c>
      <c r="G13" s="4"/>
      <c r="H13" s="4" t="s">
        <v>23</v>
      </c>
      <c r="I13" s="4" t="s">
        <v>17</v>
      </c>
      <c r="J13" s="4" t="s">
        <v>51</v>
      </c>
    </row>
    <row r="14" spans="1:10" ht="15" customHeight="1" outlineLevel="2">
      <c r="A14" s="4" t="s">
        <v>58</v>
      </c>
      <c r="B14" s="4" t="s">
        <v>11</v>
      </c>
      <c r="C14" s="27" t="s">
        <v>59</v>
      </c>
      <c r="D14" s="4">
        <v>2</v>
      </c>
      <c r="E14" s="4" t="s">
        <v>21</v>
      </c>
      <c r="F14" s="4" t="s">
        <v>60</v>
      </c>
      <c r="G14" s="4"/>
      <c r="H14" s="4" t="s">
        <v>23</v>
      </c>
      <c r="I14" s="4" t="s">
        <v>17</v>
      </c>
      <c r="J14" s="4" t="s">
        <v>51</v>
      </c>
    </row>
    <row r="15" spans="1:10" ht="28.5" customHeight="1" outlineLevel="2">
      <c r="A15" s="4" t="s">
        <v>61</v>
      </c>
      <c r="B15" s="4" t="s">
        <v>11</v>
      </c>
      <c r="C15" s="27" t="s">
        <v>62</v>
      </c>
      <c r="D15" s="4">
        <v>2</v>
      </c>
      <c r="E15" s="4" t="s">
        <v>21</v>
      </c>
      <c r="F15" s="4" t="s">
        <v>63</v>
      </c>
      <c r="G15" s="4"/>
      <c r="H15" s="4" t="s">
        <v>23</v>
      </c>
      <c r="I15" s="4" t="s">
        <v>17</v>
      </c>
      <c r="J15" s="4" t="s">
        <v>64</v>
      </c>
    </row>
    <row r="16" spans="1:10" ht="28.5" customHeight="1" outlineLevel="2">
      <c r="A16" s="4" t="s">
        <v>65</v>
      </c>
      <c r="B16" s="4" t="s">
        <v>11</v>
      </c>
      <c r="C16" s="27" t="s">
        <v>66</v>
      </c>
      <c r="D16" s="4">
        <v>2</v>
      </c>
      <c r="E16" s="4" t="s">
        <v>21</v>
      </c>
      <c r="F16" s="4" t="s">
        <v>67</v>
      </c>
      <c r="G16" s="4" t="s">
        <v>68</v>
      </c>
      <c r="H16" s="4" t="s">
        <v>16</v>
      </c>
      <c r="I16" s="4" t="s">
        <v>17</v>
      </c>
      <c r="J16" s="4" t="s">
        <v>47</v>
      </c>
    </row>
    <row r="17" spans="1:10" ht="28.5" customHeight="1" outlineLevel="2">
      <c r="A17" s="4" t="s">
        <v>69</v>
      </c>
      <c r="B17" s="4" t="s">
        <v>11</v>
      </c>
      <c r="C17" s="27" t="s">
        <v>70</v>
      </c>
      <c r="D17" s="4">
        <v>2</v>
      </c>
      <c r="E17" s="4" t="s">
        <v>21</v>
      </c>
      <c r="F17" s="4" t="s">
        <v>71</v>
      </c>
      <c r="G17" s="4" t="s">
        <v>72</v>
      </c>
      <c r="H17" s="4" t="s">
        <v>16</v>
      </c>
      <c r="I17" s="4" t="s">
        <v>17</v>
      </c>
      <c r="J17" s="4" t="s">
        <v>47</v>
      </c>
    </row>
    <row r="18" spans="1:10" ht="28.5" customHeight="1" outlineLevel="2">
      <c r="A18" s="4" t="s">
        <v>73</v>
      </c>
      <c r="B18" s="4" t="s">
        <v>11</v>
      </c>
      <c r="C18" s="27" t="s">
        <v>74</v>
      </c>
      <c r="D18" s="4">
        <v>2</v>
      </c>
      <c r="E18" s="4" t="s">
        <v>21</v>
      </c>
      <c r="F18" s="4" t="s">
        <v>75</v>
      </c>
      <c r="G18" s="4" t="s">
        <v>76</v>
      </c>
      <c r="H18" s="4" t="s">
        <v>16</v>
      </c>
      <c r="I18" s="4" t="s">
        <v>17</v>
      </c>
      <c r="J18" s="4" t="s">
        <v>47</v>
      </c>
    </row>
    <row r="19" spans="1:10" ht="15" customHeight="1" outlineLevel="2">
      <c r="A19" s="4" t="s">
        <v>77</v>
      </c>
      <c r="B19" s="4" t="s">
        <v>11</v>
      </c>
      <c r="C19" s="27" t="s">
        <v>78</v>
      </c>
      <c r="D19" s="4">
        <v>2</v>
      </c>
      <c r="E19" s="4" t="s">
        <v>21</v>
      </c>
      <c r="F19" s="4" t="s">
        <v>79</v>
      </c>
      <c r="G19" s="4" t="s">
        <v>80</v>
      </c>
      <c r="H19" s="4" t="s">
        <v>16</v>
      </c>
      <c r="I19" s="4" t="s">
        <v>17</v>
      </c>
      <c r="J19" s="4" t="s">
        <v>18</v>
      </c>
    </row>
    <row r="20" spans="1:10" ht="28.5" customHeight="1" outlineLevel="2">
      <c r="A20" s="4" t="s">
        <v>81</v>
      </c>
      <c r="B20" s="4" t="s">
        <v>11</v>
      </c>
      <c r="C20" s="27" t="s">
        <v>82</v>
      </c>
      <c r="D20" s="4">
        <v>2</v>
      </c>
      <c r="E20" s="4" t="s">
        <v>21</v>
      </c>
      <c r="F20" s="4" t="s">
        <v>83</v>
      </c>
      <c r="G20" s="4" t="s">
        <v>84</v>
      </c>
      <c r="H20" s="4" t="s">
        <v>85</v>
      </c>
      <c r="I20" s="4" t="s">
        <v>17</v>
      </c>
      <c r="J20" s="4" t="s">
        <v>47</v>
      </c>
    </row>
    <row r="21" spans="1:10" ht="15" customHeight="1" outlineLevel="2">
      <c r="A21" s="4" t="s">
        <v>86</v>
      </c>
      <c r="B21" s="4" t="s">
        <v>11</v>
      </c>
      <c r="C21" s="27" t="s">
        <v>87</v>
      </c>
      <c r="D21" s="4">
        <v>2</v>
      </c>
      <c r="E21" s="4" t="s">
        <v>21</v>
      </c>
      <c r="F21" s="4" t="s">
        <v>88</v>
      </c>
      <c r="G21" s="4" t="s">
        <v>89</v>
      </c>
      <c r="H21" s="4" t="s">
        <v>85</v>
      </c>
      <c r="I21" s="4" t="s">
        <v>17</v>
      </c>
      <c r="J21" s="4" t="s">
        <v>18</v>
      </c>
    </row>
    <row r="22" spans="1:10" ht="28.5" customHeight="1" outlineLevel="2">
      <c r="A22" s="4" t="s">
        <v>90</v>
      </c>
      <c r="B22" s="4" t="s">
        <v>11</v>
      </c>
      <c r="C22" s="27" t="s">
        <v>91</v>
      </c>
      <c r="D22" s="4">
        <v>2</v>
      </c>
      <c r="E22" s="4" t="s">
        <v>21</v>
      </c>
      <c r="F22" s="4" t="s">
        <v>92</v>
      </c>
      <c r="G22" s="4" t="s">
        <v>93</v>
      </c>
      <c r="H22" s="4" t="s">
        <v>85</v>
      </c>
      <c r="I22" s="4" t="s">
        <v>17</v>
      </c>
      <c r="J22" s="4" t="s">
        <v>47</v>
      </c>
    </row>
    <row r="23" spans="1:10" ht="30" customHeight="1" outlineLevel="1">
      <c r="A23" s="24" t="s">
        <v>94</v>
      </c>
      <c r="B23" s="24" t="s">
        <v>11</v>
      </c>
      <c r="C23" s="25" t="s">
        <v>95</v>
      </c>
      <c r="D23" s="26">
        <v>1</v>
      </c>
      <c r="E23" s="26" t="s">
        <v>13</v>
      </c>
      <c r="F23" s="26" t="s">
        <v>96</v>
      </c>
      <c r="G23" s="26" t="s">
        <v>97</v>
      </c>
      <c r="H23" s="26" t="s">
        <v>16</v>
      </c>
      <c r="I23" s="26" t="s">
        <v>17</v>
      </c>
      <c r="J23" s="26" t="s">
        <v>18</v>
      </c>
    </row>
    <row r="24" spans="1:10" ht="15" customHeight="1" outlineLevel="2">
      <c r="A24" s="4" t="s">
        <v>98</v>
      </c>
      <c r="B24" s="4" t="s">
        <v>11</v>
      </c>
      <c r="C24" s="27" t="s">
        <v>99</v>
      </c>
      <c r="D24" s="4">
        <v>2</v>
      </c>
      <c r="E24" s="4" t="s">
        <v>21</v>
      </c>
      <c r="F24" s="4" t="s">
        <v>100</v>
      </c>
      <c r="G24" s="4"/>
      <c r="H24" s="4" t="s">
        <v>23</v>
      </c>
      <c r="I24" s="4" t="s">
        <v>17</v>
      </c>
      <c r="J24" s="4" t="s">
        <v>18</v>
      </c>
    </row>
    <row r="25" spans="1:10" ht="15" customHeight="1" outlineLevel="2">
      <c r="A25" s="4" t="s">
        <v>101</v>
      </c>
      <c r="B25" s="4" t="s">
        <v>11</v>
      </c>
      <c r="C25" s="27" t="s">
        <v>102</v>
      </c>
      <c r="D25" s="4">
        <v>2</v>
      </c>
      <c r="E25" s="4" t="s">
        <v>21</v>
      </c>
      <c r="F25" s="4" t="s">
        <v>103</v>
      </c>
      <c r="G25" s="4"/>
      <c r="H25" s="4" t="s">
        <v>23</v>
      </c>
      <c r="I25" s="4" t="s">
        <v>17</v>
      </c>
      <c r="J25" s="4" t="s">
        <v>18</v>
      </c>
    </row>
    <row r="26" spans="1:10" ht="15" customHeight="1" outlineLevel="2">
      <c r="A26" s="4" t="s">
        <v>104</v>
      </c>
      <c r="B26" s="4" t="s">
        <v>11</v>
      </c>
      <c r="C26" s="27" t="s">
        <v>105</v>
      </c>
      <c r="D26" s="4">
        <v>2</v>
      </c>
      <c r="E26" s="4" t="s">
        <v>21</v>
      </c>
      <c r="F26" s="4" t="s">
        <v>106</v>
      </c>
      <c r="G26" s="4"/>
      <c r="H26" s="4" t="s">
        <v>16</v>
      </c>
      <c r="I26" s="4" t="s">
        <v>17</v>
      </c>
      <c r="J26" s="4" t="s">
        <v>18</v>
      </c>
    </row>
    <row r="27" spans="1:10" ht="15" customHeight="1" outlineLevel="2">
      <c r="A27" s="4" t="s">
        <v>107</v>
      </c>
      <c r="B27" s="4" t="s">
        <v>11</v>
      </c>
      <c r="C27" s="27" t="s">
        <v>108</v>
      </c>
      <c r="D27" s="4">
        <v>2</v>
      </c>
      <c r="E27" s="4" t="s">
        <v>21</v>
      </c>
      <c r="F27" s="4" t="s">
        <v>109</v>
      </c>
      <c r="G27" s="4"/>
      <c r="H27" s="4" t="s">
        <v>16</v>
      </c>
      <c r="I27" s="4" t="s">
        <v>17</v>
      </c>
      <c r="J27" s="4" t="s">
        <v>18</v>
      </c>
    </row>
    <row r="28" spans="1:10" ht="15" customHeight="1" outlineLevel="2">
      <c r="A28" s="4" t="s">
        <v>110</v>
      </c>
      <c r="B28" s="4" t="s">
        <v>11</v>
      </c>
      <c r="C28" s="27" t="s">
        <v>111</v>
      </c>
      <c r="D28" s="4">
        <v>2</v>
      </c>
      <c r="E28" s="4" t="s">
        <v>21</v>
      </c>
      <c r="F28" s="4" t="s">
        <v>112</v>
      </c>
      <c r="G28" s="4"/>
      <c r="H28" s="4" t="s">
        <v>16</v>
      </c>
      <c r="I28" s="4" t="s">
        <v>17</v>
      </c>
      <c r="J28" s="4" t="s">
        <v>18</v>
      </c>
    </row>
    <row r="29" spans="1:10" ht="15" customHeight="1" outlineLevel="2">
      <c r="A29" s="4" t="s">
        <v>113</v>
      </c>
      <c r="B29" s="4" t="s">
        <v>11</v>
      </c>
      <c r="C29" s="27" t="s">
        <v>114</v>
      </c>
      <c r="D29" s="4">
        <v>2</v>
      </c>
      <c r="E29" s="4" t="s">
        <v>21</v>
      </c>
      <c r="F29" s="4" t="s">
        <v>115</v>
      </c>
      <c r="G29" s="4"/>
      <c r="H29" s="4" t="s">
        <v>16</v>
      </c>
      <c r="I29" s="4" t="s">
        <v>17</v>
      </c>
      <c r="J29" s="4" t="s">
        <v>18</v>
      </c>
    </row>
    <row r="30" spans="1:10" ht="15" customHeight="1" outlineLevel="2">
      <c r="A30" s="4" t="s">
        <v>116</v>
      </c>
      <c r="B30" s="4" t="s">
        <v>11</v>
      </c>
      <c r="C30" s="27" t="s">
        <v>117</v>
      </c>
      <c r="D30" s="4">
        <v>2</v>
      </c>
      <c r="E30" s="4" t="s">
        <v>21</v>
      </c>
      <c r="F30" s="4" t="s">
        <v>118</v>
      </c>
      <c r="G30" s="4"/>
      <c r="H30" s="4" t="s">
        <v>16</v>
      </c>
      <c r="I30" s="4" t="s">
        <v>17</v>
      </c>
      <c r="J30" s="4" t="s">
        <v>18</v>
      </c>
    </row>
    <row r="31" spans="1:10" ht="15" customHeight="1" outlineLevel="2">
      <c r="A31" s="4" t="s">
        <v>119</v>
      </c>
      <c r="B31" s="4" t="s">
        <v>11</v>
      </c>
      <c r="C31" s="27" t="s">
        <v>120</v>
      </c>
      <c r="D31" s="4">
        <v>2</v>
      </c>
      <c r="E31" s="4" t="s">
        <v>21</v>
      </c>
      <c r="F31" s="4" t="s">
        <v>121</v>
      </c>
      <c r="G31" s="4"/>
      <c r="H31" s="4" t="s">
        <v>16</v>
      </c>
      <c r="I31" s="4" t="s">
        <v>17</v>
      </c>
      <c r="J31" s="4" t="s">
        <v>18</v>
      </c>
    </row>
    <row r="32" spans="1:10" ht="30" customHeight="1" outlineLevel="1">
      <c r="A32" s="24" t="s">
        <v>122</v>
      </c>
      <c r="B32" s="24" t="s">
        <v>11</v>
      </c>
      <c r="C32" s="25" t="s">
        <v>123</v>
      </c>
      <c r="D32" s="26">
        <v>1</v>
      </c>
      <c r="E32" s="26" t="s">
        <v>21</v>
      </c>
      <c r="F32" s="26" t="s">
        <v>124</v>
      </c>
      <c r="G32" s="26" t="s">
        <v>125</v>
      </c>
      <c r="H32" s="26" t="s">
        <v>16</v>
      </c>
      <c r="I32" s="26" t="s">
        <v>17</v>
      </c>
      <c r="J32" s="26" t="s">
        <v>18</v>
      </c>
    </row>
    <row r="33" spans="1:10" ht="15" customHeight="1" outlineLevel="2">
      <c r="A33" s="4" t="s">
        <v>126</v>
      </c>
      <c r="B33" s="4" t="s">
        <v>11</v>
      </c>
      <c r="C33" s="27" t="s">
        <v>127</v>
      </c>
      <c r="D33" s="4">
        <v>2</v>
      </c>
      <c r="E33" s="4" t="s">
        <v>21</v>
      </c>
      <c r="F33" s="4" t="s">
        <v>128</v>
      </c>
      <c r="G33" s="4"/>
      <c r="H33" s="4" t="s">
        <v>16</v>
      </c>
      <c r="I33" s="4" t="s">
        <v>17</v>
      </c>
      <c r="J33" s="4" t="s">
        <v>18</v>
      </c>
    </row>
    <row r="34" spans="1:10" ht="28.5" customHeight="1" outlineLevel="2">
      <c r="A34" s="4" t="s">
        <v>129</v>
      </c>
      <c r="B34" s="4" t="s">
        <v>11</v>
      </c>
      <c r="C34" s="27" t="s">
        <v>130</v>
      </c>
      <c r="D34" s="4">
        <v>2</v>
      </c>
      <c r="E34" s="4" t="s">
        <v>21</v>
      </c>
      <c r="F34" s="4" t="s">
        <v>131</v>
      </c>
      <c r="G34" s="4"/>
      <c r="H34" s="4" t="s">
        <v>16</v>
      </c>
      <c r="I34" s="4" t="s">
        <v>17</v>
      </c>
      <c r="J34" s="4" t="s">
        <v>18</v>
      </c>
    </row>
    <row r="35" spans="1:10" ht="15" customHeight="1" outlineLevel="2">
      <c r="A35" s="4" t="s">
        <v>132</v>
      </c>
      <c r="B35" s="4" t="s">
        <v>11</v>
      </c>
      <c r="C35" s="27" t="s">
        <v>133</v>
      </c>
      <c r="D35" s="4">
        <v>2</v>
      </c>
      <c r="E35" s="4" t="s">
        <v>21</v>
      </c>
      <c r="F35" s="4" t="s">
        <v>134</v>
      </c>
      <c r="G35" s="4"/>
      <c r="H35" s="4" t="s">
        <v>16</v>
      </c>
      <c r="I35" s="4" t="s">
        <v>17</v>
      </c>
      <c r="J35" s="4" t="s">
        <v>18</v>
      </c>
    </row>
    <row r="36" spans="1:10" ht="15" customHeight="1" outlineLevel="2">
      <c r="A36" s="4" t="s">
        <v>135</v>
      </c>
      <c r="B36" s="4" t="s">
        <v>11</v>
      </c>
      <c r="C36" s="27" t="s">
        <v>136</v>
      </c>
      <c r="D36" s="4">
        <v>2</v>
      </c>
      <c r="E36" s="4" t="s">
        <v>21</v>
      </c>
      <c r="F36" s="4" t="s">
        <v>137</v>
      </c>
      <c r="G36" s="4"/>
      <c r="H36" s="4" t="s">
        <v>16</v>
      </c>
      <c r="I36" s="4" t="s">
        <v>17</v>
      </c>
      <c r="J36" s="4" t="s">
        <v>18</v>
      </c>
    </row>
    <row r="37" spans="1:10" ht="15" customHeight="1" outlineLevel="2">
      <c r="A37" s="4" t="s">
        <v>138</v>
      </c>
      <c r="B37" s="4" t="s">
        <v>11</v>
      </c>
      <c r="C37" s="27" t="s">
        <v>139</v>
      </c>
      <c r="D37" s="4">
        <v>2</v>
      </c>
      <c r="E37" s="4" t="s">
        <v>21</v>
      </c>
      <c r="F37" s="4" t="s">
        <v>140</v>
      </c>
      <c r="G37" s="4"/>
      <c r="H37" s="4" t="s">
        <v>16</v>
      </c>
      <c r="I37" s="4" t="s">
        <v>17</v>
      </c>
      <c r="J37" s="4" t="s">
        <v>18</v>
      </c>
    </row>
    <row r="38" spans="1:10" ht="15" customHeight="1" outlineLevel="2">
      <c r="A38" s="4" t="s">
        <v>141</v>
      </c>
      <c r="B38" s="4" t="s">
        <v>11</v>
      </c>
      <c r="C38" s="27" t="s">
        <v>142</v>
      </c>
      <c r="D38" s="4">
        <v>2</v>
      </c>
      <c r="E38" s="4" t="s">
        <v>143</v>
      </c>
      <c r="F38" s="4" t="s">
        <v>144</v>
      </c>
      <c r="G38" s="4"/>
      <c r="H38" s="4" t="s">
        <v>16</v>
      </c>
      <c r="I38" s="4" t="s">
        <v>17</v>
      </c>
      <c r="J38" s="4" t="s">
        <v>18</v>
      </c>
    </row>
    <row r="39" spans="1:10" ht="30" customHeight="1">
      <c r="A39" s="5" t="s">
        <v>145</v>
      </c>
      <c r="B39" s="5" t="s">
        <v>146</v>
      </c>
      <c r="C39" s="23" t="s">
        <v>147</v>
      </c>
      <c r="D39" s="5">
        <v>0</v>
      </c>
      <c r="E39" s="5" t="s">
        <v>13</v>
      </c>
      <c r="F39" s="5" t="s">
        <v>148</v>
      </c>
      <c r="G39" s="5" t="s">
        <v>149</v>
      </c>
      <c r="H39" s="5" t="s">
        <v>16</v>
      </c>
      <c r="I39" s="5" t="s">
        <v>17</v>
      </c>
      <c r="J39" s="5" t="s">
        <v>18</v>
      </c>
    </row>
    <row r="40" spans="1:10" ht="15" customHeight="1" outlineLevel="1">
      <c r="A40" s="24" t="s">
        <v>150</v>
      </c>
      <c r="B40" s="24" t="s">
        <v>146</v>
      </c>
      <c r="C40" s="25" t="s">
        <v>151</v>
      </c>
      <c r="D40" s="26">
        <v>1</v>
      </c>
      <c r="E40" s="26" t="s">
        <v>21</v>
      </c>
      <c r="F40" s="26" t="s">
        <v>152</v>
      </c>
      <c r="G40" s="26"/>
      <c r="H40" s="26" t="s">
        <v>23</v>
      </c>
      <c r="I40" s="26" t="s">
        <v>17</v>
      </c>
      <c r="J40" s="26" t="s">
        <v>18</v>
      </c>
    </row>
    <row r="41" spans="1:10" ht="15" customHeight="1" outlineLevel="2">
      <c r="A41" s="4" t="s">
        <v>153</v>
      </c>
      <c r="B41" s="4" t="s">
        <v>146</v>
      </c>
      <c r="C41" s="27" t="s">
        <v>154</v>
      </c>
      <c r="D41" s="4">
        <v>2</v>
      </c>
      <c r="E41" s="4" t="s">
        <v>21</v>
      </c>
      <c r="F41" s="4" t="s">
        <v>155</v>
      </c>
      <c r="G41" s="4"/>
      <c r="H41" s="4" t="s">
        <v>23</v>
      </c>
      <c r="I41" s="4" t="s">
        <v>17</v>
      </c>
      <c r="J41" s="4" t="s">
        <v>18</v>
      </c>
    </row>
    <row r="42" spans="1:10" ht="15" customHeight="1" outlineLevel="1">
      <c r="A42" s="24" t="s">
        <v>156</v>
      </c>
      <c r="B42" s="24" t="s">
        <v>146</v>
      </c>
      <c r="C42" s="25" t="s">
        <v>157</v>
      </c>
      <c r="D42" s="26">
        <v>1</v>
      </c>
      <c r="E42" s="26" t="s">
        <v>21</v>
      </c>
      <c r="F42" s="26" t="s">
        <v>158</v>
      </c>
      <c r="G42" s="26"/>
      <c r="H42" s="26" t="s">
        <v>23</v>
      </c>
      <c r="I42" s="26" t="s">
        <v>17</v>
      </c>
      <c r="J42" s="26" t="s">
        <v>18</v>
      </c>
    </row>
    <row r="43" spans="1:10" ht="15" customHeight="1" outlineLevel="1">
      <c r="A43" s="24" t="s">
        <v>159</v>
      </c>
      <c r="B43" s="24" t="s">
        <v>146</v>
      </c>
      <c r="C43" s="25" t="s">
        <v>160</v>
      </c>
      <c r="D43" s="26">
        <v>1</v>
      </c>
      <c r="E43" s="26" t="s">
        <v>21</v>
      </c>
      <c r="F43" s="26" t="s">
        <v>161</v>
      </c>
      <c r="G43" s="26"/>
      <c r="H43" s="26" t="s">
        <v>23</v>
      </c>
      <c r="I43" s="26" t="s">
        <v>17</v>
      </c>
      <c r="J43" s="26" t="s">
        <v>18</v>
      </c>
    </row>
    <row r="44" spans="1:10" ht="15" customHeight="1" outlineLevel="1">
      <c r="A44" s="24" t="s">
        <v>162</v>
      </c>
      <c r="B44" s="24" t="s">
        <v>146</v>
      </c>
      <c r="C44" s="25" t="s">
        <v>163</v>
      </c>
      <c r="D44" s="26">
        <v>1</v>
      </c>
      <c r="E44" s="26" t="s">
        <v>35</v>
      </c>
      <c r="F44" s="26" t="s">
        <v>164</v>
      </c>
      <c r="G44" s="26"/>
      <c r="H44" s="26" t="s">
        <v>23</v>
      </c>
      <c r="I44" s="26" t="s">
        <v>17</v>
      </c>
      <c r="J44" s="26" t="s">
        <v>18</v>
      </c>
    </row>
    <row r="45" spans="1:10" ht="15" customHeight="1" outlineLevel="1">
      <c r="A45" s="24" t="s">
        <v>165</v>
      </c>
      <c r="B45" s="24" t="s">
        <v>146</v>
      </c>
      <c r="C45" s="25" t="s">
        <v>166</v>
      </c>
      <c r="D45" s="26">
        <v>1</v>
      </c>
      <c r="E45" s="26" t="s">
        <v>21</v>
      </c>
      <c r="F45" s="26" t="s">
        <v>167</v>
      </c>
      <c r="G45" s="26" t="s">
        <v>168</v>
      </c>
      <c r="H45" s="26" t="s">
        <v>85</v>
      </c>
      <c r="I45" s="26" t="s">
        <v>17</v>
      </c>
      <c r="J45" s="26" t="s">
        <v>18</v>
      </c>
    </row>
    <row r="46" spans="1:10" ht="15" customHeight="1" outlineLevel="1">
      <c r="A46" s="24" t="s">
        <v>169</v>
      </c>
      <c r="B46" s="24" t="s">
        <v>146</v>
      </c>
      <c r="C46" s="25" t="s">
        <v>170</v>
      </c>
      <c r="D46" s="26">
        <v>1</v>
      </c>
      <c r="E46" s="26" t="s">
        <v>21</v>
      </c>
      <c r="F46" s="26" t="s">
        <v>171</v>
      </c>
      <c r="G46" s="26" t="s">
        <v>172</v>
      </c>
      <c r="H46" s="26" t="s">
        <v>16</v>
      </c>
      <c r="I46" s="26" t="s">
        <v>17</v>
      </c>
      <c r="J46" s="26" t="s">
        <v>18</v>
      </c>
    </row>
    <row r="47" spans="1:10" ht="28.5" customHeight="1" outlineLevel="1">
      <c r="A47" s="24" t="s">
        <v>173</v>
      </c>
      <c r="B47" s="24" t="s">
        <v>146</v>
      </c>
      <c r="C47" s="25" t="s">
        <v>174</v>
      </c>
      <c r="D47" s="26">
        <v>1</v>
      </c>
      <c r="E47" s="26" t="s">
        <v>21</v>
      </c>
      <c r="F47" s="26" t="s">
        <v>175</v>
      </c>
      <c r="G47" s="26" t="s">
        <v>176</v>
      </c>
      <c r="H47" s="26" t="s">
        <v>16</v>
      </c>
      <c r="I47" s="26" t="s">
        <v>17</v>
      </c>
      <c r="J47" s="26" t="s">
        <v>18</v>
      </c>
    </row>
    <row r="48" spans="1:10" ht="15" customHeight="1" outlineLevel="1">
      <c r="A48" s="24" t="s">
        <v>177</v>
      </c>
      <c r="B48" s="24" t="s">
        <v>146</v>
      </c>
      <c r="C48" s="25" t="s">
        <v>178</v>
      </c>
      <c r="D48" s="26">
        <v>1</v>
      </c>
      <c r="E48" s="26" t="s">
        <v>21</v>
      </c>
      <c r="F48" s="26" t="s">
        <v>179</v>
      </c>
      <c r="G48" s="26"/>
      <c r="H48" s="26" t="s">
        <v>85</v>
      </c>
      <c r="I48" s="26" t="s">
        <v>17</v>
      </c>
      <c r="J48" s="26" t="s">
        <v>18</v>
      </c>
    </row>
    <row r="49" spans="1:10" ht="15" customHeight="1" outlineLevel="1">
      <c r="A49" s="24" t="s">
        <v>180</v>
      </c>
      <c r="B49" s="24" t="s">
        <v>146</v>
      </c>
      <c r="C49" s="25" t="s">
        <v>181</v>
      </c>
      <c r="D49" s="26">
        <v>1</v>
      </c>
      <c r="E49" s="26" t="s">
        <v>182</v>
      </c>
      <c r="F49" s="26" t="s">
        <v>183</v>
      </c>
      <c r="G49" s="26"/>
      <c r="H49" s="26" t="s">
        <v>85</v>
      </c>
      <c r="I49" s="26" t="s">
        <v>17</v>
      </c>
      <c r="J49" s="26" t="s">
        <v>18</v>
      </c>
    </row>
    <row r="50" spans="1:10" ht="15" customHeight="1" outlineLevel="1">
      <c r="A50" s="24" t="s">
        <v>184</v>
      </c>
      <c r="B50" s="24" t="s">
        <v>146</v>
      </c>
      <c r="C50" s="25" t="s">
        <v>185</v>
      </c>
      <c r="D50" s="26">
        <v>1</v>
      </c>
      <c r="E50" s="26" t="s">
        <v>186</v>
      </c>
      <c r="F50" s="26" t="s">
        <v>187</v>
      </c>
      <c r="G50" s="26"/>
      <c r="H50" s="26" t="s">
        <v>85</v>
      </c>
      <c r="I50" s="26" t="s">
        <v>17</v>
      </c>
      <c r="J50" s="26" t="s">
        <v>18</v>
      </c>
    </row>
    <row r="51" spans="1:10" ht="15" customHeight="1" outlineLevel="1">
      <c r="A51" s="24" t="s">
        <v>188</v>
      </c>
      <c r="B51" s="24" t="s">
        <v>146</v>
      </c>
      <c r="C51" s="25" t="s">
        <v>189</v>
      </c>
      <c r="D51" s="26">
        <v>1</v>
      </c>
      <c r="E51" s="26" t="s">
        <v>143</v>
      </c>
      <c r="F51" s="26" t="s">
        <v>190</v>
      </c>
      <c r="G51" s="26"/>
      <c r="H51" s="26" t="s">
        <v>85</v>
      </c>
      <c r="I51" s="26" t="s">
        <v>17</v>
      </c>
      <c r="J51" s="26" t="s">
        <v>18</v>
      </c>
    </row>
    <row r="52" spans="1:10" ht="15" customHeight="1" outlineLevel="1">
      <c r="A52" s="24" t="s">
        <v>191</v>
      </c>
      <c r="B52" s="24" t="s">
        <v>146</v>
      </c>
      <c r="C52" s="25" t="s">
        <v>192</v>
      </c>
      <c r="D52" s="26">
        <v>1</v>
      </c>
      <c r="E52" s="26" t="s">
        <v>143</v>
      </c>
      <c r="F52" s="26" t="s">
        <v>193</v>
      </c>
      <c r="G52" s="26"/>
      <c r="H52" s="26" t="s">
        <v>85</v>
      </c>
      <c r="I52" s="26" t="s">
        <v>17</v>
      </c>
      <c r="J52" s="26" t="s">
        <v>18</v>
      </c>
    </row>
    <row r="53" spans="1:10" ht="15" customHeight="1" outlineLevel="1">
      <c r="A53" s="24" t="s">
        <v>194</v>
      </c>
      <c r="B53" s="24" t="s">
        <v>146</v>
      </c>
      <c r="C53" s="25" t="s">
        <v>195</v>
      </c>
      <c r="D53" s="26">
        <v>1</v>
      </c>
      <c r="E53" s="26" t="s">
        <v>143</v>
      </c>
      <c r="F53" s="26" t="s">
        <v>196</v>
      </c>
      <c r="G53" s="26"/>
      <c r="H53" s="26" t="s">
        <v>85</v>
      </c>
      <c r="I53" s="26" t="s">
        <v>17</v>
      </c>
      <c r="J53" s="26" t="s">
        <v>18</v>
      </c>
    </row>
    <row r="54" spans="1:10" ht="15" customHeight="1" outlineLevel="1">
      <c r="A54" s="24" t="s">
        <v>197</v>
      </c>
      <c r="B54" s="24" t="s">
        <v>146</v>
      </c>
      <c r="C54" s="25" t="s">
        <v>198</v>
      </c>
      <c r="D54" s="26">
        <v>1</v>
      </c>
      <c r="E54" s="26" t="s">
        <v>143</v>
      </c>
      <c r="F54" s="26" t="s">
        <v>199</v>
      </c>
      <c r="G54" s="26"/>
      <c r="H54" s="26" t="s">
        <v>16</v>
      </c>
      <c r="I54" s="26" t="s">
        <v>17</v>
      </c>
      <c r="J54" s="26" t="s">
        <v>18</v>
      </c>
    </row>
    <row r="55" spans="1:10" ht="15" customHeight="1" outlineLevel="2">
      <c r="A55" s="4" t="s">
        <v>200</v>
      </c>
      <c r="B55" s="4" t="s">
        <v>146</v>
      </c>
      <c r="C55" s="27" t="s">
        <v>201</v>
      </c>
      <c r="D55" s="4">
        <v>2</v>
      </c>
      <c r="E55" s="4" t="s">
        <v>143</v>
      </c>
      <c r="F55" s="4" t="s">
        <v>202</v>
      </c>
      <c r="G55" s="4"/>
      <c r="H55" s="4" t="s">
        <v>85</v>
      </c>
      <c r="I55" s="4" t="s">
        <v>17</v>
      </c>
      <c r="J55" s="4" t="s">
        <v>18</v>
      </c>
    </row>
    <row r="56" spans="1:10" ht="15" customHeight="1" outlineLevel="2">
      <c r="A56" s="4" t="s">
        <v>203</v>
      </c>
      <c r="B56" s="4" t="s">
        <v>146</v>
      </c>
      <c r="C56" s="27" t="s">
        <v>204</v>
      </c>
      <c r="D56" s="4">
        <v>2</v>
      </c>
      <c r="E56" s="4" t="s">
        <v>143</v>
      </c>
      <c r="F56" s="4" t="s">
        <v>205</v>
      </c>
      <c r="G56" s="4"/>
      <c r="H56" s="4" t="s">
        <v>85</v>
      </c>
      <c r="I56" s="4" t="s">
        <v>17</v>
      </c>
      <c r="J56" s="4" t="s">
        <v>18</v>
      </c>
    </row>
    <row r="57" spans="1:10" ht="15" customHeight="1" outlineLevel="2">
      <c r="A57" s="4" t="s">
        <v>206</v>
      </c>
      <c r="B57" s="4" t="s">
        <v>146</v>
      </c>
      <c r="C57" s="27" t="s">
        <v>207</v>
      </c>
      <c r="D57" s="4">
        <v>2</v>
      </c>
      <c r="E57" s="4" t="s">
        <v>143</v>
      </c>
      <c r="F57" s="4" t="s">
        <v>208</v>
      </c>
      <c r="G57" s="4"/>
      <c r="H57" s="4" t="s">
        <v>85</v>
      </c>
      <c r="I57" s="4" t="s">
        <v>17</v>
      </c>
      <c r="J57" s="4" t="s">
        <v>18</v>
      </c>
    </row>
    <row r="58" spans="1:10" ht="15" customHeight="1" outlineLevel="2">
      <c r="A58" s="4" t="s">
        <v>209</v>
      </c>
      <c r="B58" s="4" t="s">
        <v>146</v>
      </c>
      <c r="C58" s="27" t="s">
        <v>210</v>
      </c>
      <c r="D58" s="4">
        <v>2</v>
      </c>
      <c r="E58" s="4" t="s">
        <v>143</v>
      </c>
      <c r="F58" s="4" t="s">
        <v>211</v>
      </c>
      <c r="G58" s="4"/>
      <c r="H58" s="4" t="s">
        <v>85</v>
      </c>
      <c r="I58" s="4" t="s">
        <v>17</v>
      </c>
      <c r="J58" s="4" t="s">
        <v>18</v>
      </c>
    </row>
    <row r="59" spans="1:10" ht="15" customHeight="1" outlineLevel="2">
      <c r="A59" s="4" t="s">
        <v>212</v>
      </c>
      <c r="B59" s="4" t="s">
        <v>146</v>
      </c>
      <c r="C59" s="27" t="s">
        <v>213</v>
      </c>
      <c r="D59" s="4">
        <v>2</v>
      </c>
      <c r="E59" s="4" t="s">
        <v>143</v>
      </c>
      <c r="F59" s="4" t="s">
        <v>214</v>
      </c>
      <c r="G59" s="4"/>
      <c r="H59" s="4" t="s">
        <v>85</v>
      </c>
      <c r="I59" s="4" t="s">
        <v>17</v>
      </c>
      <c r="J59" s="4" t="s">
        <v>18</v>
      </c>
    </row>
    <row r="60" spans="1:10" ht="15" customHeight="1" outlineLevel="1">
      <c r="A60" s="24" t="s">
        <v>215</v>
      </c>
      <c r="B60" s="24" t="s">
        <v>146</v>
      </c>
      <c r="C60" s="25" t="s">
        <v>216</v>
      </c>
      <c r="D60" s="26">
        <v>1</v>
      </c>
      <c r="E60" s="26" t="s">
        <v>143</v>
      </c>
      <c r="F60" s="26" t="s">
        <v>217</v>
      </c>
      <c r="G60" s="26"/>
      <c r="H60" s="26" t="s">
        <v>85</v>
      </c>
      <c r="I60" s="26" t="s">
        <v>17</v>
      </c>
      <c r="J60" s="26" t="s">
        <v>18</v>
      </c>
    </row>
    <row r="61" spans="1:10" ht="15" customHeight="1" outlineLevel="1">
      <c r="A61" s="24" t="s">
        <v>218</v>
      </c>
      <c r="B61" s="24" t="s">
        <v>146</v>
      </c>
      <c r="C61" s="25" t="s">
        <v>219</v>
      </c>
      <c r="D61" s="26">
        <v>1</v>
      </c>
      <c r="E61" s="26" t="s">
        <v>143</v>
      </c>
      <c r="F61" s="26" t="s">
        <v>220</v>
      </c>
      <c r="G61" s="26"/>
      <c r="H61" s="26" t="s">
        <v>16</v>
      </c>
      <c r="I61" s="26" t="s">
        <v>17</v>
      </c>
      <c r="J61" s="26" t="s">
        <v>18</v>
      </c>
    </row>
    <row r="62" spans="1:10" ht="15" customHeight="1" outlineLevel="2">
      <c r="A62" s="4" t="s">
        <v>221</v>
      </c>
      <c r="B62" s="4" t="s">
        <v>146</v>
      </c>
      <c r="C62" s="27" t="s">
        <v>222</v>
      </c>
      <c r="D62" s="4">
        <v>2</v>
      </c>
      <c r="E62" s="4" t="s">
        <v>143</v>
      </c>
      <c r="F62" s="4" t="s">
        <v>223</v>
      </c>
      <c r="G62" s="4"/>
      <c r="H62" s="4" t="s">
        <v>16</v>
      </c>
      <c r="I62" s="4" t="s">
        <v>17</v>
      </c>
      <c r="J62" s="4" t="s">
        <v>18</v>
      </c>
    </row>
    <row r="63" spans="1:10" ht="15" customHeight="1" outlineLevel="2">
      <c r="A63" s="4" t="s">
        <v>224</v>
      </c>
      <c r="B63" s="4" t="s">
        <v>146</v>
      </c>
      <c r="C63" s="27" t="s">
        <v>225</v>
      </c>
      <c r="D63" s="4">
        <v>2</v>
      </c>
      <c r="E63" s="4" t="s">
        <v>143</v>
      </c>
      <c r="F63" s="4" t="s">
        <v>226</v>
      </c>
      <c r="G63" s="4"/>
      <c r="H63" s="4" t="s">
        <v>16</v>
      </c>
      <c r="I63" s="4" t="s">
        <v>17</v>
      </c>
      <c r="J63" s="4" t="s">
        <v>18</v>
      </c>
    </row>
    <row r="64" spans="1:10" ht="15" customHeight="1" outlineLevel="2">
      <c r="A64" s="4" t="s">
        <v>227</v>
      </c>
      <c r="B64" s="4" t="s">
        <v>146</v>
      </c>
      <c r="C64" s="27" t="s">
        <v>228</v>
      </c>
      <c r="D64" s="4">
        <v>2</v>
      </c>
      <c r="E64" s="4" t="s">
        <v>143</v>
      </c>
      <c r="F64" s="4" t="s">
        <v>229</v>
      </c>
      <c r="G64" s="4"/>
      <c r="H64" s="4" t="s">
        <v>16</v>
      </c>
      <c r="I64" s="4" t="s">
        <v>17</v>
      </c>
      <c r="J64" s="4" t="s">
        <v>18</v>
      </c>
    </row>
    <row r="65" spans="1:10" ht="30" customHeight="1">
      <c r="A65" s="5" t="s">
        <v>230</v>
      </c>
      <c r="B65" s="5" t="s">
        <v>231</v>
      </c>
      <c r="C65" s="23" t="s">
        <v>232</v>
      </c>
      <c r="D65" s="5">
        <v>0</v>
      </c>
      <c r="E65" s="5" t="s">
        <v>21</v>
      </c>
      <c r="F65" s="5" t="s">
        <v>233</v>
      </c>
      <c r="G65" s="5" t="s">
        <v>234</v>
      </c>
      <c r="H65" s="5" t="s">
        <v>16</v>
      </c>
      <c r="I65" s="5" t="s">
        <v>17</v>
      </c>
      <c r="J65" s="5" t="s">
        <v>18</v>
      </c>
    </row>
    <row r="66" spans="1:10" ht="30" customHeight="1" outlineLevel="1">
      <c r="A66" s="24" t="s">
        <v>235</v>
      </c>
      <c r="B66" s="24" t="s">
        <v>231</v>
      </c>
      <c r="C66" s="25" t="s">
        <v>236</v>
      </c>
      <c r="D66" s="26">
        <v>1</v>
      </c>
      <c r="E66" s="26" t="s">
        <v>21</v>
      </c>
      <c r="F66" s="26" t="s">
        <v>237</v>
      </c>
      <c r="G66" s="26"/>
      <c r="H66" s="26" t="s">
        <v>23</v>
      </c>
      <c r="I66" s="26" t="s">
        <v>17</v>
      </c>
      <c r="J66" s="26" t="s">
        <v>18</v>
      </c>
    </row>
    <row r="67" spans="1:10" ht="15" customHeight="1" outlineLevel="2">
      <c r="A67" s="4" t="s">
        <v>238</v>
      </c>
      <c r="B67" s="4" t="s">
        <v>231</v>
      </c>
      <c r="C67" s="27" t="s">
        <v>239</v>
      </c>
      <c r="D67" s="4">
        <v>2</v>
      </c>
      <c r="E67" s="4" t="s">
        <v>21</v>
      </c>
      <c r="F67" s="4" t="s">
        <v>240</v>
      </c>
      <c r="G67" s="4"/>
      <c r="H67" s="4" t="s">
        <v>23</v>
      </c>
      <c r="I67" s="4" t="s">
        <v>17</v>
      </c>
      <c r="J67" s="4" t="s">
        <v>18</v>
      </c>
    </row>
    <row r="68" spans="1:10" ht="15" customHeight="1" outlineLevel="1">
      <c r="A68" s="24" t="s">
        <v>241</v>
      </c>
      <c r="B68" s="24" t="s">
        <v>231</v>
      </c>
      <c r="C68" s="25" t="s">
        <v>242</v>
      </c>
      <c r="D68" s="26">
        <v>1</v>
      </c>
      <c r="E68" s="26" t="s">
        <v>21</v>
      </c>
      <c r="F68" s="26" t="s">
        <v>243</v>
      </c>
      <c r="G68" s="26"/>
      <c r="H68" s="26" t="s">
        <v>23</v>
      </c>
      <c r="I68" s="26" t="s">
        <v>17</v>
      </c>
      <c r="J68" s="26" t="s">
        <v>18</v>
      </c>
    </row>
    <row r="69" spans="1:10" ht="15" customHeight="1" outlineLevel="2">
      <c r="A69" s="4" t="s">
        <v>244</v>
      </c>
      <c r="B69" s="4" t="s">
        <v>231</v>
      </c>
      <c r="C69" s="27" t="s">
        <v>245</v>
      </c>
      <c r="D69" s="4">
        <v>2</v>
      </c>
      <c r="E69" s="4" t="s">
        <v>21</v>
      </c>
      <c r="F69" s="4" t="s">
        <v>246</v>
      </c>
      <c r="G69" s="4"/>
      <c r="H69" s="4" t="s">
        <v>23</v>
      </c>
      <c r="I69" s="4" t="s">
        <v>17</v>
      </c>
      <c r="J69" s="4" t="s">
        <v>18</v>
      </c>
    </row>
    <row r="70" spans="1:10" ht="15" customHeight="1" outlineLevel="2">
      <c r="A70" s="4" t="s">
        <v>247</v>
      </c>
      <c r="B70" s="4" t="s">
        <v>231</v>
      </c>
      <c r="C70" s="27" t="s">
        <v>248</v>
      </c>
      <c r="D70" s="4">
        <v>2</v>
      </c>
      <c r="E70" s="4" t="s">
        <v>21</v>
      </c>
      <c r="F70" s="4" t="s">
        <v>249</v>
      </c>
      <c r="G70" s="4"/>
      <c r="H70" s="4" t="s">
        <v>23</v>
      </c>
      <c r="I70" s="4" t="s">
        <v>17</v>
      </c>
      <c r="J70" s="4" t="s">
        <v>18</v>
      </c>
    </row>
    <row r="71" spans="1:10" ht="15" customHeight="1" outlineLevel="2">
      <c r="A71" s="4" t="s">
        <v>250</v>
      </c>
      <c r="B71" s="4" t="s">
        <v>231</v>
      </c>
      <c r="C71" s="27" t="s">
        <v>251</v>
      </c>
      <c r="D71" s="4">
        <v>2</v>
      </c>
      <c r="E71" s="4" t="s">
        <v>21</v>
      </c>
      <c r="F71" s="4" t="s">
        <v>252</v>
      </c>
      <c r="G71" s="4"/>
      <c r="H71" s="4" t="s">
        <v>23</v>
      </c>
      <c r="I71" s="4" t="s">
        <v>17</v>
      </c>
      <c r="J71" s="4" t="s">
        <v>18</v>
      </c>
    </row>
    <row r="72" spans="1:10" ht="15" customHeight="1" outlineLevel="2">
      <c r="A72" s="4" t="s">
        <v>253</v>
      </c>
      <c r="B72" s="4" t="s">
        <v>231</v>
      </c>
      <c r="C72" s="27" t="s">
        <v>254</v>
      </c>
      <c r="D72" s="4">
        <v>2</v>
      </c>
      <c r="E72" s="4" t="s">
        <v>21</v>
      </c>
      <c r="F72" s="4" t="s">
        <v>255</v>
      </c>
      <c r="G72" s="4"/>
      <c r="H72" s="4" t="s">
        <v>23</v>
      </c>
      <c r="I72" s="4" t="s">
        <v>17</v>
      </c>
      <c r="J72" s="4" t="s">
        <v>18</v>
      </c>
    </row>
    <row r="73" spans="1:10" ht="15" customHeight="1" outlineLevel="1">
      <c r="A73" s="24" t="s">
        <v>256</v>
      </c>
      <c r="B73" s="24" t="s">
        <v>231</v>
      </c>
      <c r="C73" s="25" t="s">
        <v>257</v>
      </c>
      <c r="D73" s="26">
        <v>1</v>
      </c>
      <c r="E73" s="26" t="s">
        <v>35</v>
      </c>
      <c r="F73" s="26" t="s">
        <v>258</v>
      </c>
      <c r="G73" s="26"/>
      <c r="H73" s="26" t="s">
        <v>23</v>
      </c>
      <c r="I73" s="26" t="s">
        <v>17</v>
      </c>
      <c r="J73" s="26" t="s">
        <v>18</v>
      </c>
    </row>
    <row r="74" spans="1:10" ht="15" customHeight="1" outlineLevel="2">
      <c r="A74" s="4" t="s">
        <v>259</v>
      </c>
      <c r="B74" s="4" t="s">
        <v>231</v>
      </c>
      <c r="C74" s="27" t="s">
        <v>260</v>
      </c>
      <c r="D74" s="4">
        <v>2</v>
      </c>
      <c r="E74" s="4" t="s">
        <v>35</v>
      </c>
      <c r="F74" s="4" t="s">
        <v>261</v>
      </c>
      <c r="G74" s="4"/>
      <c r="H74" s="4" t="s">
        <v>23</v>
      </c>
      <c r="I74" s="4" t="s">
        <v>17</v>
      </c>
      <c r="J74" s="4" t="s">
        <v>18</v>
      </c>
    </row>
    <row r="75" spans="1:10" ht="15" customHeight="1" outlineLevel="2">
      <c r="A75" s="4" t="s">
        <v>262</v>
      </c>
      <c r="B75" s="4" t="s">
        <v>231</v>
      </c>
      <c r="C75" s="27" t="s">
        <v>242</v>
      </c>
      <c r="D75" s="4">
        <v>2</v>
      </c>
      <c r="E75" s="4" t="s">
        <v>35</v>
      </c>
      <c r="F75" s="4" t="s">
        <v>263</v>
      </c>
      <c r="G75" s="4"/>
      <c r="H75" s="4" t="s">
        <v>23</v>
      </c>
      <c r="I75" s="4" t="s">
        <v>17</v>
      </c>
      <c r="J75" s="4" t="s">
        <v>18</v>
      </c>
    </row>
    <row r="76" spans="1:10" ht="15" customHeight="1" outlineLevel="1">
      <c r="A76" s="24" t="s">
        <v>264</v>
      </c>
      <c r="B76" s="24" t="s">
        <v>231</v>
      </c>
      <c r="C76" s="25" t="s">
        <v>265</v>
      </c>
      <c r="D76" s="26">
        <v>1</v>
      </c>
      <c r="E76" s="26" t="s">
        <v>35</v>
      </c>
      <c r="F76" s="26" t="s">
        <v>266</v>
      </c>
      <c r="G76" s="26" t="s">
        <v>267</v>
      </c>
      <c r="H76" s="26" t="s">
        <v>85</v>
      </c>
      <c r="I76" s="26" t="s">
        <v>17</v>
      </c>
      <c r="J76" s="26" t="s">
        <v>18</v>
      </c>
    </row>
    <row r="77" spans="1:10" ht="15" customHeight="1" outlineLevel="2">
      <c r="A77" s="4" t="s">
        <v>268</v>
      </c>
      <c r="B77" s="4" t="s">
        <v>231</v>
      </c>
      <c r="C77" s="27" t="s">
        <v>269</v>
      </c>
      <c r="D77" s="4">
        <v>2</v>
      </c>
      <c r="E77" s="4" t="s">
        <v>21</v>
      </c>
      <c r="F77" s="4" t="s">
        <v>270</v>
      </c>
      <c r="G77" s="4"/>
      <c r="H77" s="4" t="s">
        <v>23</v>
      </c>
      <c r="I77" s="4" t="s">
        <v>17</v>
      </c>
      <c r="J77" s="4" t="s">
        <v>18</v>
      </c>
    </row>
    <row r="78" spans="1:10" ht="15" customHeight="1" outlineLevel="1">
      <c r="A78" s="24" t="s">
        <v>271</v>
      </c>
      <c r="B78" s="24" t="s">
        <v>231</v>
      </c>
      <c r="C78" s="25" t="s">
        <v>272</v>
      </c>
      <c r="D78" s="26">
        <v>1</v>
      </c>
      <c r="E78" s="26" t="s">
        <v>21</v>
      </c>
      <c r="F78" s="26" t="s">
        <v>273</v>
      </c>
      <c r="G78" s="26" t="s">
        <v>274</v>
      </c>
      <c r="H78" s="26" t="s">
        <v>85</v>
      </c>
      <c r="I78" s="26" t="s">
        <v>17</v>
      </c>
      <c r="J78" s="26" t="s">
        <v>18</v>
      </c>
    </row>
    <row r="79" spans="1:10" ht="15" customHeight="1" outlineLevel="2">
      <c r="A79" s="4" t="s">
        <v>275</v>
      </c>
      <c r="B79" s="4" t="s">
        <v>231</v>
      </c>
      <c r="C79" s="27" t="s">
        <v>276</v>
      </c>
      <c r="D79" s="4">
        <v>2</v>
      </c>
      <c r="E79" s="4" t="s">
        <v>21</v>
      </c>
      <c r="F79" s="4" t="s">
        <v>277</v>
      </c>
      <c r="G79" s="4" t="s">
        <v>278</v>
      </c>
      <c r="H79" s="4" t="s">
        <v>85</v>
      </c>
      <c r="I79" s="4" t="s">
        <v>17</v>
      </c>
      <c r="J79" s="4" t="s">
        <v>18</v>
      </c>
    </row>
    <row r="80" spans="1:10" ht="15" customHeight="1" outlineLevel="2">
      <c r="A80" s="4" t="s">
        <v>279</v>
      </c>
      <c r="B80" s="4" t="s">
        <v>231</v>
      </c>
      <c r="C80" s="27" t="s">
        <v>280</v>
      </c>
      <c r="D80" s="4">
        <v>2</v>
      </c>
      <c r="E80" s="4" t="s">
        <v>21</v>
      </c>
      <c r="F80" s="4" t="s">
        <v>281</v>
      </c>
      <c r="G80" s="4" t="s">
        <v>278</v>
      </c>
      <c r="H80" s="4" t="s">
        <v>85</v>
      </c>
      <c r="I80" s="4" t="s">
        <v>17</v>
      </c>
      <c r="J80" s="4" t="s">
        <v>18</v>
      </c>
    </row>
    <row r="81" spans="1:10" ht="15" customHeight="1" outlineLevel="2">
      <c r="A81" s="4" t="s">
        <v>282</v>
      </c>
      <c r="B81" s="4" t="s">
        <v>231</v>
      </c>
      <c r="C81" s="27" t="s">
        <v>283</v>
      </c>
      <c r="D81" s="4">
        <v>2</v>
      </c>
      <c r="E81" s="4" t="s">
        <v>21</v>
      </c>
      <c r="F81" s="4" t="s">
        <v>284</v>
      </c>
      <c r="G81" s="4" t="s">
        <v>278</v>
      </c>
      <c r="H81" s="4" t="s">
        <v>85</v>
      </c>
      <c r="I81" s="4" t="s">
        <v>17</v>
      </c>
      <c r="J81" s="4" t="s">
        <v>18</v>
      </c>
    </row>
    <row r="82" spans="1:10" ht="15" customHeight="1" outlineLevel="1">
      <c r="A82" s="24" t="s">
        <v>285</v>
      </c>
      <c r="B82" s="24" t="s">
        <v>231</v>
      </c>
      <c r="C82" s="25" t="s">
        <v>286</v>
      </c>
      <c r="D82" s="26">
        <v>1</v>
      </c>
      <c r="E82" s="26" t="s">
        <v>21</v>
      </c>
      <c r="F82" s="26" t="s">
        <v>287</v>
      </c>
      <c r="G82" s="26"/>
      <c r="H82" s="26" t="s">
        <v>16</v>
      </c>
      <c r="I82" s="26" t="s">
        <v>17</v>
      </c>
      <c r="J82" s="26" t="s">
        <v>18</v>
      </c>
    </row>
    <row r="83" spans="1:10" ht="15" customHeight="1" outlineLevel="2">
      <c r="A83" s="4" t="s">
        <v>288</v>
      </c>
      <c r="B83" s="4" t="s">
        <v>231</v>
      </c>
      <c r="C83" s="27" t="s">
        <v>289</v>
      </c>
      <c r="D83" s="4">
        <v>2</v>
      </c>
      <c r="E83" s="4" t="s">
        <v>21</v>
      </c>
      <c r="F83" s="4" t="s">
        <v>290</v>
      </c>
      <c r="G83" s="4"/>
      <c r="H83" s="4" t="s">
        <v>16</v>
      </c>
      <c r="I83" s="4" t="s">
        <v>17</v>
      </c>
      <c r="J83" s="4" t="s">
        <v>18</v>
      </c>
    </row>
    <row r="84" spans="1:10" ht="15" customHeight="1" outlineLevel="2">
      <c r="A84" s="4" t="s">
        <v>291</v>
      </c>
      <c r="B84" s="4" t="s">
        <v>231</v>
      </c>
      <c r="C84" s="27" t="s">
        <v>292</v>
      </c>
      <c r="D84" s="4">
        <v>2</v>
      </c>
      <c r="E84" s="4" t="s">
        <v>21</v>
      </c>
      <c r="F84" s="4" t="s">
        <v>293</v>
      </c>
      <c r="G84" s="4"/>
      <c r="H84" s="4" t="s">
        <v>16</v>
      </c>
      <c r="I84" s="4" t="s">
        <v>17</v>
      </c>
      <c r="J84" s="4" t="s">
        <v>18</v>
      </c>
    </row>
    <row r="85" spans="1:10" ht="15" customHeight="1" outlineLevel="2">
      <c r="A85" s="4" t="s">
        <v>294</v>
      </c>
      <c r="B85" s="4" t="s">
        <v>231</v>
      </c>
      <c r="C85" s="27" t="s">
        <v>295</v>
      </c>
      <c r="D85" s="4">
        <v>2</v>
      </c>
      <c r="E85" s="4" t="s">
        <v>21</v>
      </c>
      <c r="F85" s="4" t="s">
        <v>296</v>
      </c>
      <c r="G85" s="4"/>
      <c r="H85" s="4" t="s">
        <v>16</v>
      </c>
      <c r="I85" s="4" t="s">
        <v>17</v>
      </c>
      <c r="J85" s="4" t="s">
        <v>18</v>
      </c>
    </row>
    <row r="86" spans="1:10" ht="15" customHeight="1" outlineLevel="2">
      <c r="A86" s="4" t="s">
        <v>297</v>
      </c>
      <c r="B86" s="4" t="s">
        <v>231</v>
      </c>
      <c r="C86" s="27" t="s">
        <v>298</v>
      </c>
      <c r="D86" s="4">
        <v>2</v>
      </c>
      <c r="E86" s="4" t="s">
        <v>21</v>
      </c>
      <c r="F86" s="4" t="s">
        <v>299</v>
      </c>
      <c r="G86" s="4"/>
      <c r="H86" s="4" t="s">
        <v>16</v>
      </c>
      <c r="I86" s="4" t="s">
        <v>17</v>
      </c>
      <c r="J86" s="4" t="s">
        <v>18</v>
      </c>
    </row>
    <row r="87" spans="1:10" ht="15" customHeight="1" outlineLevel="1">
      <c r="A87" s="24" t="s">
        <v>300</v>
      </c>
      <c r="B87" s="24" t="s">
        <v>231</v>
      </c>
      <c r="C87" s="25" t="s">
        <v>301</v>
      </c>
      <c r="D87" s="26">
        <v>1</v>
      </c>
      <c r="E87" s="26" t="s">
        <v>143</v>
      </c>
      <c r="F87" s="26" t="s">
        <v>302</v>
      </c>
      <c r="G87" s="26"/>
      <c r="H87" s="26" t="s">
        <v>16</v>
      </c>
      <c r="I87" s="26" t="s">
        <v>17</v>
      </c>
      <c r="J87" s="26" t="s">
        <v>18</v>
      </c>
    </row>
    <row r="88" spans="1:10" ht="15" customHeight="1" outlineLevel="2">
      <c r="A88" s="4" t="s">
        <v>303</v>
      </c>
      <c r="B88" s="4" t="s">
        <v>231</v>
      </c>
      <c r="C88" s="27" t="s">
        <v>304</v>
      </c>
      <c r="D88" s="4">
        <v>2</v>
      </c>
      <c r="E88" s="4" t="s">
        <v>143</v>
      </c>
      <c r="F88" s="4" t="s">
        <v>305</v>
      </c>
      <c r="G88" s="4"/>
      <c r="H88" s="4" t="s">
        <v>16</v>
      </c>
      <c r="I88" s="4" t="s">
        <v>17</v>
      </c>
      <c r="J88" s="4" t="s">
        <v>18</v>
      </c>
    </row>
    <row r="89" spans="1:10" ht="15" customHeight="1" outlineLevel="2">
      <c r="A89" s="4" t="s">
        <v>306</v>
      </c>
      <c r="B89" s="4" t="s">
        <v>231</v>
      </c>
      <c r="C89" s="27" t="s">
        <v>307</v>
      </c>
      <c r="D89" s="4">
        <v>2</v>
      </c>
      <c r="E89" s="4" t="s">
        <v>143</v>
      </c>
      <c r="F89" s="4" t="s">
        <v>308</v>
      </c>
      <c r="G89" s="4"/>
      <c r="H89" s="4" t="s">
        <v>16</v>
      </c>
      <c r="I89" s="4" t="s">
        <v>17</v>
      </c>
      <c r="J89" s="4" t="s">
        <v>18</v>
      </c>
    </row>
    <row r="90" spans="1:10" ht="15" customHeight="1" outlineLevel="2">
      <c r="A90" s="4" t="s">
        <v>309</v>
      </c>
      <c r="B90" s="4" t="s">
        <v>231</v>
      </c>
      <c r="C90" s="27" t="s">
        <v>310</v>
      </c>
      <c r="D90" s="4">
        <v>2</v>
      </c>
      <c r="E90" s="4" t="s">
        <v>143</v>
      </c>
      <c r="F90" s="4" t="s">
        <v>311</v>
      </c>
      <c r="G90" s="4"/>
      <c r="H90" s="4" t="s">
        <v>16</v>
      </c>
      <c r="I90" s="4" t="s">
        <v>17</v>
      </c>
      <c r="J90" s="4" t="s">
        <v>18</v>
      </c>
    </row>
    <row r="91" spans="1:10" ht="15" customHeight="1" outlineLevel="1">
      <c r="A91" s="24" t="s">
        <v>312</v>
      </c>
      <c r="B91" s="24" t="s">
        <v>231</v>
      </c>
      <c r="C91" s="25" t="s">
        <v>313</v>
      </c>
      <c r="D91" s="26">
        <v>1</v>
      </c>
      <c r="E91" s="26" t="s">
        <v>143</v>
      </c>
      <c r="F91" s="26" t="s">
        <v>314</v>
      </c>
      <c r="G91" s="26"/>
      <c r="H91" s="26" t="s">
        <v>85</v>
      </c>
      <c r="I91" s="26" t="s">
        <v>17</v>
      </c>
      <c r="J91" s="26" t="s">
        <v>18</v>
      </c>
    </row>
    <row r="92" spans="1:10" ht="15" customHeight="1" outlineLevel="1">
      <c r="A92" s="24" t="s">
        <v>315</v>
      </c>
      <c r="B92" s="24" t="s">
        <v>231</v>
      </c>
      <c r="C92" s="25" t="s">
        <v>316</v>
      </c>
      <c r="D92" s="26">
        <v>1</v>
      </c>
      <c r="E92" s="26" t="s">
        <v>143</v>
      </c>
      <c r="F92" s="26" t="s">
        <v>317</v>
      </c>
      <c r="G92" s="26"/>
      <c r="H92" s="26" t="s">
        <v>85</v>
      </c>
      <c r="I92" s="26" t="s">
        <v>17</v>
      </c>
      <c r="J92" s="26" t="s">
        <v>18</v>
      </c>
    </row>
    <row r="93" spans="1:10" ht="30" customHeight="1">
      <c r="A93" s="5" t="s">
        <v>318</v>
      </c>
      <c r="B93" s="5" t="s">
        <v>319</v>
      </c>
      <c r="C93" s="23" t="s">
        <v>320</v>
      </c>
      <c r="D93" s="5">
        <v>0</v>
      </c>
      <c r="E93" s="5" t="s">
        <v>35</v>
      </c>
      <c r="F93" s="5" t="s">
        <v>321</v>
      </c>
      <c r="G93" s="5" t="s">
        <v>322</v>
      </c>
      <c r="H93" s="5" t="s">
        <v>85</v>
      </c>
      <c r="I93" s="5" t="s">
        <v>17</v>
      </c>
      <c r="J93" s="5" t="s">
        <v>18</v>
      </c>
    </row>
    <row r="94" spans="1:10" ht="15" customHeight="1" outlineLevel="1">
      <c r="A94" s="24" t="s">
        <v>323</v>
      </c>
      <c r="B94" s="24" t="s">
        <v>319</v>
      </c>
      <c r="C94" s="25" t="s">
        <v>324</v>
      </c>
      <c r="D94" s="26">
        <v>1</v>
      </c>
      <c r="E94" s="26" t="s">
        <v>21</v>
      </c>
      <c r="F94" s="26" t="s">
        <v>325</v>
      </c>
      <c r="G94" s="26"/>
      <c r="H94" s="26" t="s">
        <v>23</v>
      </c>
      <c r="I94" s="26" t="s">
        <v>17</v>
      </c>
      <c r="J94" s="26" t="s">
        <v>18</v>
      </c>
    </row>
    <row r="95" spans="1:10" ht="15" customHeight="1" outlineLevel="2">
      <c r="A95" s="4" t="s">
        <v>326</v>
      </c>
      <c r="B95" s="4" t="s">
        <v>319</v>
      </c>
      <c r="C95" s="27" t="s">
        <v>327</v>
      </c>
      <c r="D95" s="4">
        <v>2</v>
      </c>
      <c r="E95" s="4" t="s">
        <v>21</v>
      </c>
      <c r="F95" s="4" t="s">
        <v>328</v>
      </c>
      <c r="G95" s="4"/>
      <c r="H95" s="4" t="s">
        <v>23</v>
      </c>
      <c r="I95" s="4" t="s">
        <v>17</v>
      </c>
      <c r="J95" s="4" t="s">
        <v>18</v>
      </c>
    </row>
    <row r="96" spans="1:10" ht="15" customHeight="1" outlineLevel="1">
      <c r="A96" s="24" t="s">
        <v>329</v>
      </c>
      <c r="B96" s="24" t="s">
        <v>319</v>
      </c>
      <c r="C96" s="25" t="s">
        <v>330</v>
      </c>
      <c r="D96" s="26">
        <v>1</v>
      </c>
      <c r="E96" s="26" t="s">
        <v>21</v>
      </c>
      <c r="F96" s="26" t="s">
        <v>331</v>
      </c>
      <c r="G96" s="26"/>
      <c r="H96" s="26" t="s">
        <v>16</v>
      </c>
      <c r="I96" s="26" t="s">
        <v>17</v>
      </c>
      <c r="J96" s="26" t="s">
        <v>18</v>
      </c>
    </row>
    <row r="97" spans="1:10" ht="15" customHeight="1" outlineLevel="2">
      <c r="A97" s="4" t="s">
        <v>332</v>
      </c>
      <c r="B97" s="4" t="s">
        <v>319</v>
      </c>
      <c r="C97" s="27" t="s">
        <v>333</v>
      </c>
      <c r="D97" s="4">
        <v>2</v>
      </c>
      <c r="E97" s="4" t="s">
        <v>21</v>
      </c>
      <c r="F97" s="4" t="s">
        <v>334</v>
      </c>
      <c r="G97" s="4"/>
      <c r="H97" s="4" t="s">
        <v>16</v>
      </c>
      <c r="I97" s="4" t="s">
        <v>17</v>
      </c>
      <c r="J97" s="4" t="s">
        <v>18</v>
      </c>
    </row>
    <row r="98" spans="1:10" ht="15" customHeight="1" outlineLevel="2">
      <c r="A98" s="4" t="s">
        <v>335</v>
      </c>
      <c r="B98" s="4" t="s">
        <v>319</v>
      </c>
      <c r="C98" s="27" t="s">
        <v>336</v>
      </c>
      <c r="D98" s="4">
        <v>2</v>
      </c>
      <c r="E98" s="4" t="s">
        <v>21</v>
      </c>
      <c r="F98" s="4" t="s">
        <v>337</v>
      </c>
      <c r="G98" s="4"/>
      <c r="H98" s="4" t="s">
        <v>16</v>
      </c>
      <c r="I98" s="4" t="s">
        <v>17</v>
      </c>
      <c r="J98" s="4" t="s">
        <v>18</v>
      </c>
    </row>
    <row r="99" spans="1:10" ht="15" customHeight="1" outlineLevel="2">
      <c r="A99" s="4" t="s">
        <v>338</v>
      </c>
      <c r="B99" s="4" t="s">
        <v>319</v>
      </c>
      <c r="C99" s="27" t="s">
        <v>339</v>
      </c>
      <c r="D99" s="4">
        <v>2</v>
      </c>
      <c r="E99" s="4" t="s">
        <v>143</v>
      </c>
      <c r="F99" s="4" t="s">
        <v>340</v>
      </c>
      <c r="G99" s="4"/>
      <c r="H99" s="4" t="s">
        <v>16</v>
      </c>
      <c r="I99" s="4" t="s">
        <v>17</v>
      </c>
      <c r="J99" s="4" t="s">
        <v>18</v>
      </c>
    </row>
    <row r="100" spans="1:10" ht="15" customHeight="1" outlineLevel="2">
      <c r="A100" s="4" t="s">
        <v>341</v>
      </c>
      <c r="B100" s="4" t="s">
        <v>319</v>
      </c>
      <c r="C100" s="27" t="s">
        <v>342</v>
      </c>
      <c r="D100" s="4">
        <v>2</v>
      </c>
      <c r="E100" s="4" t="s">
        <v>143</v>
      </c>
      <c r="F100" s="4" t="s">
        <v>344</v>
      </c>
      <c r="G100" s="4"/>
      <c r="H100" s="4" t="s">
        <v>16</v>
      </c>
      <c r="I100" s="4" t="s">
        <v>17</v>
      </c>
      <c r="J100" s="4" t="s">
        <v>18</v>
      </c>
    </row>
    <row r="101" spans="1:10" ht="15" customHeight="1" outlineLevel="2">
      <c r="A101" s="4" t="s">
        <v>345</v>
      </c>
      <c r="B101" s="4" t="s">
        <v>319</v>
      </c>
      <c r="C101" s="27" t="s">
        <v>346</v>
      </c>
      <c r="D101" s="4">
        <v>2</v>
      </c>
      <c r="E101" s="4" t="s">
        <v>143</v>
      </c>
      <c r="F101" s="4" t="s">
        <v>347</v>
      </c>
      <c r="G101" s="4"/>
      <c r="H101" s="4" t="s">
        <v>16</v>
      </c>
      <c r="I101" s="4" t="s">
        <v>17</v>
      </c>
      <c r="J101" s="4" t="s">
        <v>18</v>
      </c>
    </row>
    <row r="102" spans="1:10" ht="15" customHeight="1" outlineLevel="2">
      <c r="A102" s="4" t="s">
        <v>348</v>
      </c>
      <c r="B102" s="4" t="s">
        <v>319</v>
      </c>
      <c r="C102" s="27" t="s">
        <v>349</v>
      </c>
      <c r="D102" s="4">
        <v>2</v>
      </c>
      <c r="E102" s="4" t="s">
        <v>143</v>
      </c>
      <c r="F102" s="4" t="s">
        <v>350</v>
      </c>
      <c r="G102" s="4"/>
      <c r="H102" s="4" t="s">
        <v>16</v>
      </c>
      <c r="I102" s="4" t="s">
        <v>17</v>
      </c>
      <c r="J102" s="4" t="s">
        <v>18</v>
      </c>
    </row>
    <row r="103" spans="1:10" ht="15" customHeight="1" outlineLevel="1">
      <c r="A103" s="24" t="s">
        <v>351</v>
      </c>
      <c r="B103" s="24" t="s">
        <v>319</v>
      </c>
      <c r="C103" s="25" t="s">
        <v>352</v>
      </c>
      <c r="D103" s="26">
        <v>1</v>
      </c>
      <c r="E103" s="26" t="s">
        <v>143</v>
      </c>
      <c r="F103" s="26" t="s">
        <v>353</v>
      </c>
      <c r="G103" s="26"/>
      <c r="H103" s="26" t="s">
        <v>16</v>
      </c>
      <c r="I103" s="26" t="s">
        <v>17</v>
      </c>
      <c r="J103" s="26" t="s">
        <v>18</v>
      </c>
    </row>
    <row r="104" spans="1:10" ht="15" customHeight="1" outlineLevel="2">
      <c r="A104" s="4" t="s">
        <v>354</v>
      </c>
      <c r="B104" s="4" t="s">
        <v>319</v>
      </c>
      <c r="C104" s="27" t="s">
        <v>355</v>
      </c>
      <c r="D104" s="4">
        <v>2</v>
      </c>
      <c r="E104" s="4" t="s">
        <v>143</v>
      </c>
      <c r="F104" s="4" t="s">
        <v>356</v>
      </c>
      <c r="G104" s="4"/>
      <c r="H104" s="4" t="s">
        <v>16</v>
      </c>
      <c r="I104" s="4" t="s">
        <v>17</v>
      </c>
      <c r="J104" s="4" t="s">
        <v>18</v>
      </c>
    </row>
    <row r="105" spans="1:10" ht="15" customHeight="1" outlineLevel="2">
      <c r="A105" s="4" t="s">
        <v>357</v>
      </c>
      <c r="B105" s="4" t="s">
        <v>319</v>
      </c>
      <c r="C105" s="27" t="s">
        <v>358</v>
      </c>
      <c r="D105" s="4">
        <v>2</v>
      </c>
      <c r="E105" s="4" t="s">
        <v>143</v>
      </c>
      <c r="F105" s="4" t="s">
        <v>359</v>
      </c>
      <c r="G105" s="4"/>
      <c r="H105" s="4" t="s">
        <v>16</v>
      </c>
      <c r="I105" s="4" t="s">
        <v>17</v>
      </c>
      <c r="J105" s="4" t="s">
        <v>18</v>
      </c>
    </row>
    <row r="106" spans="1:10" ht="15" customHeight="1" outlineLevel="2">
      <c r="A106" s="4" t="s">
        <v>360</v>
      </c>
      <c r="B106" s="4" t="s">
        <v>319</v>
      </c>
      <c r="C106" s="27" t="s">
        <v>361</v>
      </c>
      <c r="D106" s="4">
        <v>2</v>
      </c>
      <c r="E106" s="4" t="s">
        <v>143</v>
      </c>
      <c r="F106" s="4" t="s">
        <v>362</v>
      </c>
      <c r="G106" s="4"/>
      <c r="H106" s="4" t="s">
        <v>16</v>
      </c>
      <c r="I106" s="4" t="s">
        <v>17</v>
      </c>
      <c r="J106" s="4" t="s">
        <v>18</v>
      </c>
    </row>
    <row r="107" spans="1:10" ht="15" customHeight="1" outlineLevel="2">
      <c r="A107" s="4" t="s">
        <v>363</v>
      </c>
      <c r="B107" s="4" t="s">
        <v>319</v>
      </c>
      <c r="C107" s="27" t="s">
        <v>364</v>
      </c>
      <c r="D107" s="4">
        <v>2</v>
      </c>
      <c r="E107" s="4" t="s">
        <v>143</v>
      </c>
      <c r="F107" s="4" t="s">
        <v>365</v>
      </c>
      <c r="G107" s="4"/>
      <c r="H107" s="4" t="s">
        <v>16</v>
      </c>
      <c r="I107" s="4" t="s">
        <v>17</v>
      </c>
      <c r="J107" s="4" t="s">
        <v>18</v>
      </c>
    </row>
    <row r="108" spans="1:10" ht="15" customHeight="1" outlineLevel="1">
      <c r="A108" s="24" t="s">
        <v>366</v>
      </c>
      <c r="B108" s="24" t="s">
        <v>319</v>
      </c>
      <c r="C108" s="25" t="s">
        <v>346</v>
      </c>
      <c r="D108" s="26">
        <v>1</v>
      </c>
      <c r="E108" s="26" t="s">
        <v>21</v>
      </c>
      <c r="F108" s="26" t="s">
        <v>367</v>
      </c>
      <c r="G108" s="26"/>
      <c r="H108" s="26" t="s">
        <v>23</v>
      </c>
      <c r="I108" s="26" t="s">
        <v>17</v>
      </c>
      <c r="J108" s="26" t="s">
        <v>18</v>
      </c>
    </row>
    <row r="109" spans="1:10" ht="15" customHeight="1" outlineLevel="2">
      <c r="A109" s="4" t="s">
        <v>368</v>
      </c>
      <c r="B109" s="4" t="s">
        <v>319</v>
      </c>
      <c r="C109" s="27" t="s">
        <v>369</v>
      </c>
      <c r="D109" s="4">
        <v>2</v>
      </c>
      <c r="E109" s="4" t="s">
        <v>21</v>
      </c>
      <c r="F109" s="4" t="s">
        <v>370</v>
      </c>
      <c r="G109" s="4"/>
      <c r="H109" s="4" t="s">
        <v>23</v>
      </c>
      <c r="I109" s="4" t="s">
        <v>17</v>
      </c>
      <c r="J109" s="4" t="s">
        <v>18</v>
      </c>
    </row>
    <row r="110" spans="1:10" ht="15" customHeight="1" outlineLevel="1">
      <c r="A110" s="24" t="s">
        <v>371</v>
      </c>
      <c r="B110" s="24" t="s">
        <v>319</v>
      </c>
      <c r="C110" s="25" t="s">
        <v>372</v>
      </c>
      <c r="D110" s="26">
        <v>1</v>
      </c>
      <c r="E110" s="26" t="s">
        <v>13</v>
      </c>
      <c r="F110" s="26" t="s">
        <v>373</v>
      </c>
      <c r="G110" s="26" t="s">
        <v>374</v>
      </c>
      <c r="H110" s="26" t="s">
        <v>85</v>
      </c>
      <c r="I110" s="26" t="s">
        <v>17</v>
      </c>
      <c r="J110" s="26" t="s">
        <v>18</v>
      </c>
    </row>
    <row r="111" spans="1:10" ht="15" customHeight="1" outlineLevel="2">
      <c r="A111" s="4" t="s">
        <v>375</v>
      </c>
      <c r="B111" s="4" t="s">
        <v>319</v>
      </c>
      <c r="C111" s="27" t="s">
        <v>376</v>
      </c>
      <c r="D111" s="4">
        <v>2</v>
      </c>
      <c r="E111" s="4" t="s">
        <v>21</v>
      </c>
      <c r="F111" s="4" t="s">
        <v>377</v>
      </c>
      <c r="G111" s="4"/>
      <c r="H111" s="4" t="s">
        <v>23</v>
      </c>
      <c r="I111" s="4" t="s">
        <v>17</v>
      </c>
      <c r="J111" s="4" t="s">
        <v>18</v>
      </c>
    </row>
    <row r="112" spans="1:10" ht="15" customHeight="1" outlineLevel="2">
      <c r="A112" s="4" t="s">
        <v>378</v>
      </c>
      <c r="B112" s="4" t="s">
        <v>319</v>
      </c>
      <c r="C112" s="27" t="s">
        <v>379</v>
      </c>
      <c r="D112" s="4">
        <v>2</v>
      </c>
      <c r="E112" s="4" t="s">
        <v>143</v>
      </c>
      <c r="F112" s="4" t="s">
        <v>380</v>
      </c>
      <c r="G112" s="4"/>
      <c r="H112" s="4" t="s">
        <v>85</v>
      </c>
      <c r="I112" s="4" t="s">
        <v>17</v>
      </c>
      <c r="J112" s="4" t="s">
        <v>18</v>
      </c>
    </row>
    <row r="113" spans="1:10" ht="15" customHeight="1" outlineLevel="1">
      <c r="A113" s="24" t="s">
        <v>381</v>
      </c>
      <c r="B113" s="24" t="s">
        <v>319</v>
      </c>
      <c r="C113" s="25" t="s">
        <v>382</v>
      </c>
      <c r="D113" s="26">
        <v>1</v>
      </c>
      <c r="E113" s="26" t="s">
        <v>343</v>
      </c>
      <c r="F113" s="26" t="s">
        <v>383</v>
      </c>
      <c r="G113" s="26"/>
      <c r="H113" s="26" t="s">
        <v>85</v>
      </c>
      <c r="I113" s="26" t="s">
        <v>17</v>
      </c>
      <c r="J113" s="26" t="s">
        <v>18</v>
      </c>
    </row>
    <row r="114" spans="1:10" ht="28.5" customHeight="1" outlineLevel="1">
      <c r="A114" s="24" t="s">
        <v>384</v>
      </c>
      <c r="B114" s="24" t="s">
        <v>319</v>
      </c>
      <c r="C114" s="25" t="s">
        <v>385</v>
      </c>
      <c r="D114" s="26">
        <v>1</v>
      </c>
      <c r="E114" s="26" t="s">
        <v>13</v>
      </c>
      <c r="F114" s="26" t="s">
        <v>386</v>
      </c>
      <c r="G114" s="26" t="s">
        <v>387</v>
      </c>
      <c r="H114" s="26" t="s">
        <v>85</v>
      </c>
      <c r="I114" s="26" t="s">
        <v>17</v>
      </c>
      <c r="J114" s="26" t="s">
        <v>18</v>
      </c>
    </row>
    <row r="115" spans="1:10" ht="15" customHeight="1" outlineLevel="2">
      <c r="A115" s="4" t="s">
        <v>388</v>
      </c>
      <c r="B115" s="4" t="s">
        <v>319</v>
      </c>
      <c r="C115" s="27" t="s">
        <v>389</v>
      </c>
      <c r="D115" s="4">
        <v>2</v>
      </c>
      <c r="E115" s="4" t="s">
        <v>13</v>
      </c>
      <c r="F115" s="4" t="s">
        <v>390</v>
      </c>
      <c r="G115" s="4" t="s">
        <v>391</v>
      </c>
      <c r="H115" s="4" t="s">
        <v>85</v>
      </c>
      <c r="I115" s="4" t="s">
        <v>17</v>
      </c>
      <c r="J115" s="4" t="s">
        <v>18</v>
      </c>
    </row>
    <row r="116" spans="1:10" ht="15" customHeight="1" outlineLevel="2">
      <c r="A116" s="4" t="s">
        <v>392</v>
      </c>
      <c r="B116" s="4" t="s">
        <v>319</v>
      </c>
      <c r="C116" s="27" t="s">
        <v>393</v>
      </c>
      <c r="D116" s="4">
        <v>2</v>
      </c>
      <c r="E116" s="4" t="s">
        <v>343</v>
      </c>
      <c r="F116" s="4" t="s">
        <v>394</v>
      </c>
      <c r="G116" s="4"/>
      <c r="H116" s="4" t="s">
        <v>85</v>
      </c>
      <c r="I116" s="4" t="s">
        <v>17</v>
      </c>
      <c r="J116" s="4" t="s">
        <v>18</v>
      </c>
    </row>
    <row r="117" spans="1:10" ht="15" customHeight="1" outlineLevel="1">
      <c r="A117" s="24" t="s">
        <v>395</v>
      </c>
      <c r="B117" s="24" t="s">
        <v>319</v>
      </c>
      <c r="C117" s="25" t="s">
        <v>396</v>
      </c>
      <c r="D117" s="26">
        <v>1</v>
      </c>
      <c r="E117" s="26" t="s">
        <v>343</v>
      </c>
      <c r="F117" s="26" t="s">
        <v>397</v>
      </c>
      <c r="G117" s="26"/>
      <c r="H117" s="26" t="s">
        <v>85</v>
      </c>
      <c r="I117" s="26" t="s">
        <v>17</v>
      </c>
      <c r="J117" s="26" t="s">
        <v>18</v>
      </c>
    </row>
    <row r="118" spans="1:10" ht="15" customHeight="1" outlineLevel="1">
      <c r="A118" s="24" t="s">
        <v>398</v>
      </c>
      <c r="B118" s="24" t="s">
        <v>319</v>
      </c>
      <c r="C118" s="25" t="s">
        <v>399</v>
      </c>
      <c r="D118" s="26">
        <v>1</v>
      </c>
      <c r="E118" s="26" t="s">
        <v>343</v>
      </c>
      <c r="F118" s="26" t="s">
        <v>400</v>
      </c>
      <c r="G118" s="26"/>
      <c r="H118" s="26" t="s">
        <v>16</v>
      </c>
      <c r="I118" s="26" t="s">
        <v>17</v>
      </c>
      <c r="J118" s="26" t="s">
        <v>18</v>
      </c>
    </row>
    <row r="119" spans="1:10" ht="15" customHeight="1" outlineLevel="1">
      <c r="A119" s="24" t="s">
        <v>401</v>
      </c>
      <c r="B119" s="24" t="s">
        <v>319</v>
      </c>
      <c r="C119" s="25" t="s">
        <v>402</v>
      </c>
      <c r="D119" s="26">
        <v>1</v>
      </c>
      <c r="E119" s="26" t="s">
        <v>343</v>
      </c>
      <c r="F119" s="26" t="s">
        <v>403</v>
      </c>
      <c r="G119" s="26"/>
      <c r="H119" s="26" t="s">
        <v>16</v>
      </c>
      <c r="I119" s="26" t="s">
        <v>17</v>
      </c>
      <c r="J119" s="26" t="s">
        <v>18</v>
      </c>
    </row>
    <row r="120" spans="1:10" ht="30" customHeight="1">
      <c r="A120" s="5" t="s">
        <v>404</v>
      </c>
      <c r="B120" s="5" t="s">
        <v>405</v>
      </c>
      <c r="C120" s="23" t="s">
        <v>406</v>
      </c>
      <c r="D120" s="5">
        <v>0</v>
      </c>
      <c r="E120" s="5" t="s">
        <v>186</v>
      </c>
      <c r="F120" s="5" t="s">
        <v>407</v>
      </c>
      <c r="G120" s="5" t="s">
        <v>408</v>
      </c>
      <c r="H120" s="5" t="s">
        <v>16</v>
      </c>
      <c r="I120" s="5" t="s">
        <v>17</v>
      </c>
      <c r="J120" s="5" t="s">
        <v>18</v>
      </c>
    </row>
    <row r="121" spans="1:10" ht="15" customHeight="1" outlineLevel="1">
      <c r="A121" s="24" t="s">
        <v>409</v>
      </c>
      <c r="B121" s="24" t="s">
        <v>405</v>
      </c>
      <c r="C121" s="25" t="s">
        <v>410</v>
      </c>
      <c r="D121" s="26">
        <v>1</v>
      </c>
      <c r="E121" s="26" t="s">
        <v>343</v>
      </c>
      <c r="F121" s="26" t="s">
        <v>411</v>
      </c>
      <c r="G121" s="26"/>
      <c r="H121" s="26" t="s">
        <v>16</v>
      </c>
      <c r="I121" s="26" t="s">
        <v>17</v>
      </c>
      <c r="J121" s="26" t="s">
        <v>18</v>
      </c>
    </row>
    <row r="122" spans="1:10" ht="15" customHeight="1" outlineLevel="2">
      <c r="A122" s="4" t="s">
        <v>412</v>
      </c>
      <c r="B122" s="4" t="s">
        <v>405</v>
      </c>
      <c r="C122" s="27" t="s">
        <v>413</v>
      </c>
      <c r="D122" s="4">
        <v>2</v>
      </c>
      <c r="E122" s="4" t="s">
        <v>343</v>
      </c>
      <c r="F122" s="4" t="s">
        <v>414</v>
      </c>
      <c r="G122" s="4"/>
      <c r="H122" s="4" t="s">
        <v>16</v>
      </c>
      <c r="I122" s="4" t="s">
        <v>17</v>
      </c>
      <c r="J122" s="4" t="s">
        <v>18</v>
      </c>
    </row>
    <row r="123" spans="1:10" ht="15" customHeight="1" outlineLevel="2">
      <c r="A123" s="4" t="s">
        <v>415</v>
      </c>
      <c r="B123" s="4" t="s">
        <v>405</v>
      </c>
      <c r="C123" s="27" t="s">
        <v>355</v>
      </c>
      <c r="D123" s="4">
        <v>2</v>
      </c>
      <c r="E123" s="4" t="s">
        <v>343</v>
      </c>
      <c r="F123" s="4" t="s">
        <v>416</v>
      </c>
      <c r="G123" s="4"/>
      <c r="H123" s="4" t="s">
        <v>16</v>
      </c>
      <c r="I123" s="4" t="s">
        <v>17</v>
      </c>
      <c r="J123" s="4" t="s">
        <v>18</v>
      </c>
    </row>
    <row r="124" spans="1:10" ht="15" customHeight="1" outlineLevel="2">
      <c r="A124" s="4" t="s">
        <v>417</v>
      </c>
      <c r="B124" s="4" t="s">
        <v>405</v>
      </c>
      <c r="C124" s="27" t="s">
        <v>418</v>
      </c>
      <c r="D124" s="4">
        <v>2</v>
      </c>
      <c r="E124" s="4" t="s">
        <v>343</v>
      </c>
      <c r="F124" s="4" t="s">
        <v>419</v>
      </c>
      <c r="G124" s="4"/>
      <c r="H124" s="4" t="s">
        <v>16</v>
      </c>
      <c r="I124" s="4" t="s">
        <v>17</v>
      </c>
      <c r="J124" s="4" t="s">
        <v>18</v>
      </c>
    </row>
    <row r="125" spans="1:10" ht="15" customHeight="1" outlineLevel="2">
      <c r="A125" s="4" t="s">
        <v>420</v>
      </c>
      <c r="B125" s="4" t="s">
        <v>405</v>
      </c>
      <c r="C125" s="27" t="s">
        <v>421</v>
      </c>
      <c r="D125" s="4">
        <v>2</v>
      </c>
      <c r="E125" s="4" t="s">
        <v>343</v>
      </c>
      <c r="F125" s="4" t="s">
        <v>422</v>
      </c>
      <c r="G125" s="4"/>
      <c r="H125" s="4" t="s">
        <v>16</v>
      </c>
      <c r="I125" s="4" t="s">
        <v>17</v>
      </c>
      <c r="J125" s="4" t="s">
        <v>18</v>
      </c>
    </row>
    <row r="126" spans="1:10" ht="15" customHeight="1" outlineLevel="2">
      <c r="A126" s="4" t="s">
        <v>423</v>
      </c>
      <c r="B126" s="4" t="s">
        <v>405</v>
      </c>
      <c r="C126" s="27" t="s">
        <v>424</v>
      </c>
      <c r="D126" s="4">
        <v>2</v>
      </c>
      <c r="E126" s="4" t="s">
        <v>343</v>
      </c>
      <c r="F126" s="4" t="s">
        <v>425</v>
      </c>
      <c r="G126" s="4"/>
      <c r="H126" s="4" t="s">
        <v>16</v>
      </c>
      <c r="I126" s="4" t="s">
        <v>17</v>
      </c>
      <c r="J126" s="4" t="s">
        <v>18</v>
      </c>
    </row>
    <row r="127" spans="1:10" ht="15" customHeight="1" outlineLevel="1">
      <c r="A127" s="24" t="s">
        <v>426</v>
      </c>
      <c r="B127" s="24" t="s">
        <v>405</v>
      </c>
      <c r="C127" s="25" t="s">
        <v>427</v>
      </c>
      <c r="D127" s="26">
        <v>1</v>
      </c>
      <c r="E127" s="26" t="s">
        <v>13</v>
      </c>
      <c r="F127" s="26" t="s">
        <v>428</v>
      </c>
      <c r="G127" s="26" t="s">
        <v>429</v>
      </c>
      <c r="H127" s="26" t="s">
        <v>85</v>
      </c>
      <c r="I127" s="26" t="s">
        <v>17</v>
      </c>
      <c r="J127" s="26" t="s">
        <v>18</v>
      </c>
    </row>
    <row r="128" spans="1:10" ht="15" customHeight="1" outlineLevel="1">
      <c r="A128" s="24" t="s">
        <v>430</v>
      </c>
      <c r="B128" s="24" t="s">
        <v>405</v>
      </c>
      <c r="C128" s="25" t="s">
        <v>431</v>
      </c>
      <c r="D128" s="26">
        <v>1</v>
      </c>
      <c r="E128" s="26" t="s">
        <v>13</v>
      </c>
      <c r="F128" s="26" t="s">
        <v>432</v>
      </c>
      <c r="G128" s="26" t="s">
        <v>433</v>
      </c>
      <c r="H128" s="26" t="s">
        <v>16</v>
      </c>
      <c r="I128" s="26" t="s">
        <v>17</v>
      </c>
      <c r="J128" s="26" t="s">
        <v>18</v>
      </c>
    </row>
    <row r="129" spans="1:10" ht="15" customHeight="1" outlineLevel="2">
      <c r="A129" s="4" t="s">
        <v>434</v>
      </c>
      <c r="B129" s="4" t="s">
        <v>405</v>
      </c>
      <c r="C129" s="27" t="s">
        <v>435</v>
      </c>
      <c r="D129" s="4">
        <v>2</v>
      </c>
      <c r="E129" s="4" t="s">
        <v>343</v>
      </c>
      <c r="F129" s="4" t="s">
        <v>436</v>
      </c>
      <c r="G129" s="4"/>
      <c r="H129" s="4" t="s">
        <v>85</v>
      </c>
      <c r="I129" s="4" t="s">
        <v>17</v>
      </c>
      <c r="J129" s="4" t="s">
        <v>18</v>
      </c>
    </row>
    <row r="130" spans="1:10" ht="15" customHeight="1" outlineLevel="2">
      <c r="A130" s="4" t="s">
        <v>437</v>
      </c>
      <c r="B130" s="4" t="s">
        <v>405</v>
      </c>
      <c r="C130" s="27" t="s">
        <v>438</v>
      </c>
      <c r="D130" s="4">
        <v>2</v>
      </c>
      <c r="E130" s="4" t="s">
        <v>21</v>
      </c>
      <c r="F130" s="4" t="s">
        <v>439</v>
      </c>
      <c r="G130" s="4"/>
      <c r="H130" s="4" t="s">
        <v>23</v>
      </c>
      <c r="I130" s="4" t="s">
        <v>17</v>
      </c>
      <c r="J130" s="4" t="s">
        <v>18</v>
      </c>
    </row>
    <row r="131" spans="1:10" ht="15" customHeight="1" outlineLevel="3">
      <c r="A131" s="28" t="s">
        <v>440</v>
      </c>
      <c r="B131" s="4" t="s">
        <v>405</v>
      </c>
      <c r="C131" s="29" t="s">
        <v>441</v>
      </c>
      <c r="D131" s="4">
        <v>3</v>
      </c>
      <c r="E131" s="4" t="s">
        <v>21</v>
      </c>
      <c r="F131" s="4" t="s">
        <v>442</v>
      </c>
      <c r="G131" s="4"/>
      <c r="H131" s="4" t="s">
        <v>23</v>
      </c>
      <c r="I131" s="4" t="s">
        <v>17</v>
      </c>
      <c r="J131" s="4" t="s">
        <v>18</v>
      </c>
    </row>
    <row r="132" spans="1:10" ht="15" customHeight="1" outlineLevel="3">
      <c r="A132" s="28" t="s">
        <v>443</v>
      </c>
      <c r="B132" s="4" t="s">
        <v>405</v>
      </c>
      <c r="C132" s="29" t="s">
        <v>444</v>
      </c>
      <c r="D132" s="4">
        <v>3</v>
      </c>
      <c r="E132" s="4" t="s">
        <v>21</v>
      </c>
      <c r="F132" s="4" t="s">
        <v>445</v>
      </c>
      <c r="G132" s="4"/>
      <c r="H132" s="4" t="s">
        <v>23</v>
      </c>
      <c r="I132" s="4" t="s">
        <v>17</v>
      </c>
      <c r="J132" s="4" t="s">
        <v>18</v>
      </c>
    </row>
    <row r="133" spans="1:10" ht="15" customHeight="1" outlineLevel="3">
      <c r="A133" s="28" t="s">
        <v>446</v>
      </c>
      <c r="B133" s="4" t="s">
        <v>405</v>
      </c>
      <c r="C133" s="29" t="s">
        <v>447</v>
      </c>
      <c r="D133" s="4">
        <v>3</v>
      </c>
      <c r="E133" s="4" t="s">
        <v>21</v>
      </c>
      <c r="F133" s="4" t="s">
        <v>448</v>
      </c>
      <c r="G133" s="4"/>
      <c r="H133" s="4" t="s">
        <v>23</v>
      </c>
      <c r="I133" s="4" t="s">
        <v>17</v>
      </c>
      <c r="J133" s="4" t="s">
        <v>18</v>
      </c>
    </row>
    <row r="134" spans="1:10" ht="15" customHeight="1" outlineLevel="3">
      <c r="A134" s="28" t="s">
        <v>449</v>
      </c>
      <c r="B134" s="4" t="s">
        <v>405</v>
      </c>
      <c r="C134" s="29" t="s">
        <v>450</v>
      </c>
      <c r="D134" s="4">
        <v>3</v>
      </c>
      <c r="E134" s="4" t="s">
        <v>21</v>
      </c>
      <c r="F134" s="4" t="s">
        <v>451</v>
      </c>
      <c r="G134" s="4"/>
      <c r="H134" s="4" t="s">
        <v>23</v>
      </c>
      <c r="I134" s="4" t="s">
        <v>17</v>
      </c>
      <c r="J134" s="4" t="s">
        <v>18</v>
      </c>
    </row>
    <row r="135" spans="1:10" ht="15" customHeight="1" outlineLevel="3">
      <c r="A135" s="28" t="s">
        <v>452</v>
      </c>
      <c r="B135" s="4" t="s">
        <v>405</v>
      </c>
      <c r="C135" s="29" t="s">
        <v>453</v>
      </c>
      <c r="D135" s="4">
        <v>3</v>
      </c>
      <c r="E135" s="4" t="s">
        <v>21</v>
      </c>
      <c r="F135" s="4" t="s">
        <v>454</v>
      </c>
      <c r="G135" s="4"/>
      <c r="H135" s="4" t="s">
        <v>23</v>
      </c>
      <c r="I135" s="4" t="s">
        <v>17</v>
      </c>
      <c r="J135" s="4" t="s">
        <v>18</v>
      </c>
    </row>
    <row r="136" spans="1:10" ht="15" customHeight="1" outlineLevel="3">
      <c r="A136" s="28" t="s">
        <v>455</v>
      </c>
      <c r="B136" s="4" t="s">
        <v>405</v>
      </c>
      <c r="C136" s="29" t="s">
        <v>456</v>
      </c>
      <c r="D136" s="4">
        <v>3</v>
      </c>
      <c r="E136" s="4" t="s">
        <v>21</v>
      </c>
      <c r="F136" s="4" t="s">
        <v>457</v>
      </c>
      <c r="G136" s="4"/>
      <c r="H136" s="4" t="s">
        <v>23</v>
      </c>
      <c r="I136" s="4" t="s">
        <v>17</v>
      </c>
      <c r="J136" s="4" t="s">
        <v>18</v>
      </c>
    </row>
    <row r="137" spans="1:10" ht="15" customHeight="1" outlineLevel="3">
      <c r="A137" s="28" t="s">
        <v>458</v>
      </c>
      <c r="B137" s="4" t="s">
        <v>405</v>
      </c>
      <c r="C137" s="29" t="s">
        <v>459</v>
      </c>
      <c r="D137" s="4">
        <v>3</v>
      </c>
      <c r="E137" s="4" t="s">
        <v>21</v>
      </c>
      <c r="F137" s="4" t="s">
        <v>460</v>
      </c>
      <c r="G137" s="4"/>
      <c r="H137" s="4" t="s">
        <v>23</v>
      </c>
      <c r="I137" s="4" t="s">
        <v>17</v>
      </c>
      <c r="J137" s="4" t="s">
        <v>18</v>
      </c>
    </row>
    <row r="138" spans="1:10" ht="15" customHeight="1" outlineLevel="3">
      <c r="A138" s="28" t="s">
        <v>461</v>
      </c>
      <c r="B138" s="4" t="s">
        <v>405</v>
      </c>
      <c r="C138" s="29" t="s">
        <v>462</v>
      </c>
      <c r="D138" s="4">
        <v>3</v>
      </c>
      <c r="E138" s="4" t="s">
        <v>21</v>
      </c>
      <c r="F138" s="4" t="s">
        <v>463</v>
      </c>
      <c r="G138" s="4"/>
      <c r="H138" s="4" t="s">
        <v>23</v>
      </c>
      <c r="I138" s="4" t="s">
        <v>17</v>
      </c>
      <c r="J138" s="4" t="s">
        <v>18</v>
      </c>
    </row>
    <row r="139" spans="1:10" ht="15" customHeight="1" outlineLevel="3">
      <c r="A139" s="28" t="s">
        <v>464</v>
      </c>
      <c r="B139" s="4" t="s">
        <v>405</v>
      </c>
      <c r="C139" s="29" t="s">
        <v>465</v>
      </c>
      <c r="D139" s="4">
        <v>3</v>
      </c>
      <c r="E139" s="4" t="s">
        <v>21</v>
      </c>
      <c r="F139" s="4" t="s">
        <v>466</v>
      </c>
      <c r="G139" s="4"/>
      <c r="H139" s="4" t="s">
        <v>23</v>
      </c>
      <c r="I139" s="4" t="s">
        <v>17</v>
      </c>
      <c r="J139" s="4" t="s">
        <v>18</v>
      </c>
    </row>
    <row r="140" spans="1:10" ht="15" customHeight="1" outlineLevel="2">
      <c r="A140" s="4" t="s">
        <v>467</v>
      </c>
      <c r="B140" s="4" t="s">
        <v>405</v>
      </c>
      <c r="C140" s="27" t="s">
        <v>468</v>
      </c>
      <c r="D140" s="4">
        <v>2</v>
      </c>
      <c r="E140" s="4" t="s">
        <v>182</v>
      </c>
      <c r="F140" s="4" t="s">
        <v>469</v>
      </c>
      <c r="G140" s="4" t="s">
        <v>470</v>
      </c>
      <c r="H140" s="4" t="s">
        <v>471</v>
      </c>
      <c r="I140" s="4" t="s">
        <v>17</v>
      </c>
      <c r="J140" s="4" t="s">
        <v>18</v>
      </c>
    </row>
    <row r="141" spans="1:10" ht="15" customHeight="1" outlineLevel="3">
      <c r="A141" s="28" t="s">
        <v>472</v>
      </c>
      <c r="B141" s="4" t="s">
        <v>405</v>
      </c>
      <c r="C141" s="29" t="s">
        <v>473</v>
      </c>
      <c r="D141" s="4">
        <v>3</v>
      </c>
      <c r="E141" s="4" t="s">
        <v>21</v>
      </c>
      <c r="F141" s="4" t="s">
        <v>474</v>
      </c>
      <c r="G141" s="4"/>
      <c r="H141" s="4" t="s">
        <v>23</v>
      </c>
      <c r="I141" s="4" t="s">
        <v>17</v>
      </c>
      <c r="J141" s="4" t="s">
        <v>18</v>
      </c>
    </row>
    <row r="142" spans="1:10" ht="15" customHeight="1" outlineLevel="3">
      <c r="A142" s="28" t="s">
        <v>475</v>
      </c>
      <c r="B142" s="4" t="s">
        <v>405</v>
      </c>
      <c r="C142" s="29" t="s">
        <v>476</v>
      </c>
      <c r="D142" s="4">
        <v>3</v>
      </c>
      <c r="E142" s="4" t="s">
        <v>21</v>
      </c>
      <c r="F142" s="4" t="s">
        <v>477</v>
      </c>
      <c r="G142" s="4"/>
      <c r="H142" s="4" t="s">
        <v>23</v>
      </c>
      <c r="I142" s="4" t="s">
        <v>17</v>
      </c>
      <c r="J142" s="4" t="s">
        <v>18</v>
      </c>
    </row>
    <row r="143" spans="1:10" ht="15" customHeight="1" outlineLevel="3">
      <c r="A143" s="28" t="s">
        <v>478</v>
      </c>
      <c r="B143" s="4" t="s">
        <v>405</v>
      </c>
      <c r="C143" s="29" t="s">
        <v>479</v>
      </c>
      <c r="D143" s="4">
        <v>3</v>
      </c>
      <c r="E143" s="4" t="s">
        <v>21</v>
      </c>
      <c r="F143" s="4" t="s">
        <v>480</v>
      </c>
      <c r="G143" s="4"/>
      <c r="H143" s="4" t="s">
        <v>23</v>
      </c>
      <c r="I143" s="4" t="s">
        <v>17</v>
      </c>
      <c r="J143" s="4" t="s">
        <v>18</v>
      </c>
    </row>
    <row r="144" spans="1:10" ht="15" customHeight="1" outlineLevel="3">
      <c r="A144" s="28" t="s">
        <v>481</v>
      </c>
      <c r="B144" s="4" t="s">
        <v>405</v>
      </c>
      <c r="C144" s="29" t="s">
        <v>482</v>
      </c>
      <c r="D144" s="4">
        <v>3</v>
      </c>
      <c r="E144" s="4" t="s">
        <v>21</v>
      </c>
      <c r="F144" s="4" t="s">
        <v>483</v>
      </c>
      <c r="G144" s="4"/>
      <c r="H144" s="4" t="s">
        <v>23</v>
      </c>
      <c r="I144" s="4" t="s">
        <v>17</v>
      </c>
      <c r="J144" s="4" t="s">
        <v>18</v>
      </c>
    </row>
    <row r="145" spans="1:10" ht="15" customHeight="1" outlineLevel="3">
      <c r="A145" s="28" t="s">
        <v>484</v>
      </c>
      <c r="B145" s="4" t="s">
        <v>405</v>
      </c>
      <c r="C145" s="29" t="s">
        <v>485</v>
      </c>
      <c r="D145" s="4">
        <v>3</v>
      </c>
      <c r="E145" s="4" t="s">
        <v>21</v>
      </c>
      <c r="F145" s="4" t="s">
        <v>486</v>
      </c>
      <c r="G145" s="4"/>
      <c r="H145" s="4" t="s">
        <v>23</v>
      </c>
      <c r="I145" s="4" t="s">
        <v>17</v>
      </c>
      <c r="J145" s="4" t="s">
        <v>18</v>
      </c>
    </row>
    <row r="146" spans="1:10" ht="15" customHeight="1" outlineLevel="3">
      <c r="A146" s="28" t="s">
        <v>487</v>
      </c>
      <c r="B146" s="4" t="s">
        <v>405</v>
      </c>
      <c r="C146" s="29" t="s">
        <v>453</v>
      </c>
      <c r="D146" s="4">
        <v>3</v>
      </c>
      <c r="E146" s="4" t="s">
        <v>21</v>
      </c>
      <c r="F146" s="4" t="s">
        <v>488</v>
      </c>
      <c r="G146" s="4"/>
      <c r="H146" s="4" t="s">
        <v>23</v>
      </c>
      <c r="I146" s="4" t="s">
        <v>17</v>
      </c>
      <c r="J146" s="4" t="s">
        <v>18</v>
      </c>
    </row>
    <row r="147" spans="1:10" ht="15" customHeight="1" outlineLevel="3">
      <c r="A147" s="28" t="s">
        <v>489</v>
      </c>
      <c r="B147" s="4" t="s">
        <v>405</v>
      </c>
      <c r="C147" s="29" t="s">
        <v>490</v>
      </c>
      <c r="D147" s="4">
        <v>3</v>
      </c>
      <c r="E147" s="4" t="s">
        <v>143</v>
      </c>
      <c r="F147" s="4" t="s">
        <v>491</v>
      </c>
      <c r="G147" s="4"/>
      <c r="H147" s="4" t="s">
        <v>16</v>
      </c>
      <c r="I147" s="4" t="s">
        <v>17</v>
      </c>
      <c r="J147" s="4" t="s">
        <v>18</v>
      </c>
    </row>
    <row r="148" spans="1:10" ht="15" customHeight="1" outlineLevel="3">
      <c r="A148" s="28" t="s">
        <v>492</v>
      </c>
      <c r="B148" s="4" t="s">
        <v>405</v>
      </c>
      <c r="C148" s="29" t="s">
        <v>493</v>
      </c>
      <c r="D148" s="4">
        <v>3</v>
      </c>
      <c r="E148" s="4" t="s">
        <v>143</v>
      </c>
      <c r="F148" s="4" t="s">
        <v>494</v>
      </c>
      <c r="G148" s="4"/>
      <c r="H148" s="4" t="s">
        <v>16</v>
      </c>
      <c r="I148" s="4" t="s">
        <v>17</v>
      </c>
      <c r="J148" s="4" t="s">
        <v>18</v>
      </c>
    </row>
    <row r="149" spans="1:10" ht="15" customHeight="1" outlineLevel="3">
      <c r="A149" s="28" t="s">
        <v>495</v>
      </c>
      <c r="B149" s="4" t="s">
        <v>405</v>
      </c>
      <c r="C149" s="29" t="s">
        <v>496</v>
      </c>
      <c r="D149" s="4">
        <v>3</v>
      </c>
      <c r="E149" s="4" t="s">
        <v>343</v>
      </c>
      <c r="F149" s="4" t="s">
        <v>497</v>
      </c>
      <c r="G149" s="4"/>
      <c r="H149" s="4" t="s">
        <v>16</v>
      </c>
      <c r="I149" s="4" t="s">
        <v>17</v>
      </c>
      <c r="J149" s="4" t="s">
        <v>18</v>
      </c>
    </row>
    <row r="150" spans="1:10" ht="15" customHeight="1" outlineLevel="3">
      <c r="A150" s="28" t="s">
        <v>498</v>
      </c>
      <c r="B150" s="4" t="s">
        <v>405</v>
      </c>
      <c r="C150" s="29" t="s">
        <v>499</v>
      </c>
      <c r="D150" s="4">
        <v>3</v>
      </c>
      <c r="E150" s="4" t="s">
        <v>343</v>
      </c>
      <c r="F150" s="4" t="s">
        <v>500</v>
      </c>
      <c r="G150" s="4"/>
      <c r="H150" s="4" t="s">
        <v>16</v>
      </c>
      <c r="I150" s="4" t="s">
        <v>17</v>
      </c>
      <c r="J150" s="4" t="s">
        <v>18</v>
      </c>
    </row>
    <row r="151" spans="1:10" ht="15" customHeight="1" outlineLevel="3">
      <c r="A151" s="28" t="s">
        <v>501</v>
      </c>
      <c r="B151" s="4" t="s">
        <v>405</v>
      </c>
      <c r="C151" s="29" t="s">
        <v>502</v>
      </c>
      <c r="D151" s="4">
        <v>3</v>
      </c>
      <c r="E151" s="4" t="s">
        <v>343</v>
      </c>
      <c r="F151" s="4" t="s">
        <v>503</v>
      </c>
      <c r="G151" s="4"/>
      <c r="H151" s="4" t="s">
        <v>16</v>
      </c>
      <c r="I151" s="4" t="s">
        <v>17</v>
      </c>
      <c r="J151" s="4" t="s">
        <v>18</v>
      </c>
    </row>
    <row r="152" spans="1:10" ht="15" customHeight="1" outlineLevel="1">
      <c r="A152" s="24" t="s">
        <v>504</v>
      </c>
      <c r="B152" s="24" t="s">
        <v>405</v>
      </c>
      <c r="C152" s="25" t="s">
        <v>505</v>
      </c>
      <c r="D152" s="26">
        <v>1</v>
      </c>
      <c r="E152" s="26" t="s">
        <v>21</v>
      </c>
      <c r="F152" s="26" t="s">
        <v>506</v>
      </c>
      <c r="G152" s="26"/>
      <c r="H152" s="26" t="s">
        <v>23</v>
      </c>
      <c r="I152" s="26" t="s">
        <v>17</v>
      </c>
      <c r="J152" s="26" t="s">
        <v>18</v>
      </c>
    </row>
    <row r="153" spans="1:10" ht="15" customHeight="1" outlineLevel="2">
      <c r="A153" s="4" t="s">
        <v>507</v>
      </c>
      <c r="B153" s="4" t="s">
        <v>405</v>
      </c>
      <c r="C153" s="27" t="s">
        <v>508</v>
      </c>
      <c r="D153" s="4">
        <v>2</v>
      </c>
      <c r="E153" s="4" t="s">
        <v>21</v>
      </c>
      <c r="F153" s="4" t="s">
        <v>509</v>
      </c>
      <c r="G153" s="4"/>
      <c r="H153" s="4" t="s">
        <v>23</v>
      </c>
      <c r="I153" s="4" t="s">
        <v>17</v>
      </c>
      <c r="J153" s="4" t="s">
        <v>18</v>
      </c>
    </row>
    <row r="154" spans="1:10" ht="15" customHeight="1" outlineLevel="3">
      <c r="A154" s="28" t="s">
        <v>510</v>
      </c>
      <c r="B154" s="4" t="s">
        <v>405</v>
      </c>
      <c r="C154" s="29" t="s">
        <v>511</v>
      </c>
      <c r="D154" s="4">
        <v>3</v>
      </c>
      <c r="E154" s="4" t="s">
        <v>21</v>
      </c>
      <c r="F154" s="4" t="s">
        <v>512</v>
      </c>
      <c r="G154" s="4"/>
      <c r="H154" s="4" t="s">
        <v>23</v>
      </c>
      <c r="I154" s="4" t="s">
        <v>17</v>
      </c>
      <c r="J154" s="4" t="s">
        <v>18</v>
      </c>
    </row>
    <row r="155" spans="1:10" ht="15" customHeight="1" outlineLevel="2">
      <c r="A155" s="4" t="s">
        <v>513</v>
      </c>
      <c r="B155" s="4" t="s">
        <v>405</v>
      </c>
      <c r="C155" s="27" t="s">
        <v>514</v>
      </c>
      <c r="D155" s="4">
        <v>2</v>
      </c>
      <c r="E155" s="4" t="s">
        <v>21</v>
      </c>
      <c r="F155" s="4" t="s">
        <v>515</v>
      </c>
      <c r="G155" s="4"/>
      <c r="H155" s="4" t="s">
        <v>23</v>
      </c>
      <c r="I155" s="4" t="s">
        <v>17</v>
      </c>
      <c r="J155" s="4" t="s">
        <v>18</v>
      </c>
    </row>
    <row r="156" spans="1:10" ht="15" customHeight="1" outlineLevel="3">
      <c r="A156" s="28" t="s">
        <v>516</v>
      </c>
      <c r="B156" s="4" t="s">
        <v>405</v>
      </c>
      <c r="C156" s="29" t="s">
        <v>517</v>
      </c>
      <c r="D156" s="4">
        <v>3</v>
      </c>
      <c r="E156" s="4" t="s">
        <v>21</v>
      </c>
      <c r="F156" s="4" t="s">
        <v>518</v>
      </c>
      <c r="G156" s="4"/>
      <c r="H156" s="4" t="s">
        <v>23</v>
      </c>
      <c r="I156" s="4" t="s">
        <v>17</v>
      </c>
      <c r="J156" s="4" t="s">
        <v>18</v>
      </c>
    </row>
    <row r="157" spans="1:10" ht="15" customHeight="1" outlineLevel="1">
      <c r="A157" s="24" t="s">
        <v>519</v>
      </c>
      <c r="B157" s="24" t="s">
        <v>405</v>
      </c>
      <c r="C157" s="25" t="s">
        <v>520</v>
      </c>
      <c r="D157" s="26">
        <v>1</v>
      </c>
      <c r="E157" s="26" t="s">
        <v>343</v>
      </c>
      <c r="F157" s="26" t="s">
        <v>521</v>
      </c>
      <c r="G157" s="26"/>
      <c r="H157" s="26" t="s">
        <v>16</v>
      </c>
      <c r="I157" s="26" t="s">
        <v>17</v>
      </c>
      <c r="J157" s="26" t="s">
        <v>18</v>
      </c>
    </row>
    <row r="158" spans="1:10" ht="15" customHeight="1" outlineLevel="1">
      <c r="A158" s="24" t="s">
        <v>522</v>
      </c>
      <c r="B158" s="24" t="s">
        <v>405</v>
      </c>
      <c r="C158" s="25" t="s">
        <v>523</v>
      </c>
      <c r="D158" s="26">
        <v>1</v>
      </c>
      <c r="E158" s="26" t="s">
        <v>143</v>
      </c>
      <c r="F158" s="26" t="s">
        <v>524</v>
      </c>
      <c r="G158" s="26" t="s">
        <v>525</v>
      </c>
      <c r="H158" s="26" t="s">
        <v>16</v>
      </c>
      <c r="I158" s="26" t="s">
        <v>17</v>
      </c>
      <c r="J158" s="26" t="s">
        <v>18</v>
      </c>
    </row>
    <row r="159" spans="1:10" ht="15" customHeight="1" outlineLevel="2">
      <c r="A159" s="4" t="s">
        <v>526</v>
      </c>
      <c r="B159" s="4" t="s">
        <v>405</v>
      </c>
      <c r="C159" s="27" t="s">
        <v>527</v>
      </c>
      <c r="D159" s="4">
        <v>2</v>
      </c>
      <c r="E159" s="4" t="s">
        <v>143</v>
      </c>
      <c r="F159" s="4" t="s">
        <v>528</v>
      </c>
      <c r="G159" s="4"/>
      <c r="H159" s="4" t="s">
        <v>16</v>
      </c>
      <c r="I159" s="4" t="s">
        <v>17</v>
      </c>
      <c r="J159" s="4" t="s">
        <v>18</v>
      </c>
    </row>
    <row r="160" spans="1:10" ht="15" customHeight="1" outlineLevel="1">
      <c r="A160" s="24" t="s">
        <v>529</v>
      </c>
      <c r="B160" s="24" t="s">
        <v>405</v>
      </c>
      <c r="C160" s="25" t="s">
        <v>530</v>
      </c>
      <c r="D160" s="26">
        <v>1</v>
      </c>
      <c r="E160" s="26" t="s">
        <v>21</v>
      </c>
      <c r="F160" s="26" t="s">
        <v>531</v>
      </c>
      <c r="G160" s="26"/>
      <c r="H160" s="26" t="s">
        <v>23</v>
      </c>
      <c r="I160" s="26" t="s">
        <v>17</v>
      </c>
      <c r="J160" s="26" t="s">
        <v>18</v>
      </c>
    </row>
    <row r="161" spans="1:10" ht="15" customHeight="1" outlineLevel="2">
      <c r="A161" s="4" t="s">
        <v>532</v>
      </c>
      <c r="B161" s="4" t="s">
        <v>405</v>
      </c>
      <c r="C161" s="27" t="s">
        <v>533</v>
      </c>
      <c r="D161" s="4">
        <v>2</v>
      </c>
      <c r="E161" s="4" t="s">
        <v>21</v>
      </c>
      <c r="F161" s="4" t="s">
        <v>534</v>
      </c>
      <c r="G161" s="4"/>
      <c r="H161" s="4" t="s">
        <v>23</v>
      </c>
      <c r="I161" s="4" t="s">
        <v>17</v>
      </c>
      <c r="J161" s="4" t="s">
        <v>18</v>
      </c>
    </row>
    <row r="162" spans="1:10" ht="15" customHeight="1" outlineLevel="1">
      <c r="A162" s="24" t="s">
        <v>535</v>
      </c>
      <c r="B162" s="24" t="s">
        <v>405</v>
      </c>
      <c r="C162" s="25" t="s">
        <v>536</v>
      </c>
      <c r="D162" s="26">
        <v>1</v>
      </c>
      <c r="E162" s="26" t="s">
        <v>21</v>
      </c>
      <c r="F162" s="26" t="s">
        <v>537</v>
      </c>
      <c r="G162" s="26"/>
      <c r="H162" s="26" t="s">
        <v>23</v>
      </c>
      <c r="I162" s="26" t="s">
        <v>17</v>
      </c>
      <c r="J162" s="26" t="s">
        <v>18</v>
      </c>
    </row>
    <row r="163" spans="1:10" ht="15" customHeight="1" outlineLevel="2">
      <c r="A163" s="4" t="s">
        <v>538</v>
      </c>
      <c r="B163" s="4" t="s">
        <v>405</v>
      </c>
      <c r="C163" s="27" t="s">
        <v>539</v>
      </c>
      <c r="D163" s="4">
        <v>2</v>
      </c>
      <c r="E163" s="4" t="s">
        <v>21</v>
      </c>
      <c r="F163" s="4" t="s">
        <v>540</v>
      </c>
      <c r="G163" s="4"/>
      <c r="H163" s="4" t="s">
        <v>23</v>
      </c>
      <c r="I163" s="4" t="s">
        <v>17</v>
      </c>
      <c r="J163" s="4" t="s">
        <v>18</v>
      </c>
    </row>
    <row r="164" spans="1:10" ht="15" customHeight="1" outlineLevel="1">
      <c r="A164" s="24" t="s">
        <v>541</v>
      </c>
      <c r="B164" s="24" t="s">
        <v>405</v>
      </c>
      <c r="C164" s="25" t="s">
        <v>542</v>
      </c>
      <c r="D164" s="26">
        <v>1</v>
      </c>
      <c r="E164" s="26" t="s">
        <v>13</v>
      </c>
      <c r="F164" s="26" t="s">
        <v>543</v>
      </c>
      <c r="G164" s="26" t="s">
        <v>544</v>
      </c>
      <c r="H164" s="26" t="s">
        <v>85</v>
      </c>
      <c r="I164" s="26" t="s">
        <v>17</v>
      </c>
      <c r="J164" s="26" t="s">
        <v>18</v>
      </c>
    </row>
    <row r="165" spans="1:10" ht="15" customHeight="1" outlineLevel="1">
      <c r="A165" s="24" t="s">
        <v>545</v>
      </c>
      <c r="B165" s="24" t="s">
        <v>405</v>
      </c>
      <c r="C165" s="25" t="s">
        <v>546</v>
      </c>
      <c r="D165" s="26">
        <v>1</v>
      </c>
      <c r="E165" s="26" t="s">
        <v>343</v>
      </c>
      <c r="F165" s="26" t="s">
        <v>547</v>
      </c>
      <c r="G165" s="26"/>
      <c r="H165" s="26" t="s">
        <v>16</v>
      </c>
      <c r="I165" s="26" t="s">
        <v>17</v>
      </c>
      <c r="J165" s="26" t="s">
        <v>18</v>
      </c>
    </row>
    <row r="166" spans="1:10" ht="15" customHeight="1" outlineLevel="2">
      <c r="A166" s="4" t="s">
        <v>548</v>
      </c>
      <c r="B166" s="4" t="s">
        <v>405</v>
      </c>
      <c r="C166" s="27" t="s">
        <v>549</v>
      </c>
      <c r="D166" s="4">
        <v>2</v>
      </c>
      <c r="E166" s="4" t="s">
        <v>343</v>
      </c>
      <c r="F166" s="4" t="s">
        <v>550</v>
      </c>
      <c r="G166" s="4"/>
      <c r="H166" s="4" t="s">
        <v>16</v>
      </c>
      <c r="I166" s="4" t="s">
        <v>17</v>
      </c>
      <c r="J166" s="4" t="s">
        <v>18</v>
      </c>
    </row>
    <row r="167" spans="1:10" ht="15" customHeight="1" outlineLevel="2">
      <c r="A167" s="4" t="s">
        <v>551</v>
      </c>
      <c r="B167" s="4" t="s">
        <v>405</v>
      </c>
      <c r="C167" s="27" t="s">
        <v>552</v>
      </c>
      <c r="D167" s="4">
        <v>2</v>
      </c>
      <c r="E167" s="4" t="s">
        <v>343</v>
      </c>
      <c r="F167" s="4" t="s">
        <v>553</v>
      </c>
      <c r="G167" s="4"/>
      <c r="H167" s="4" t="s">
        <v>16</v>
      </c>
      <c r="I167" s="4" t="s">
        <v>17</v>
      </c>
      <c r="J167" s="4" t="s">
        <v>18</v>
      </c>
    </row>
    <row r="168" spans="1:10" ht="15" customHeight="1" outlineLevel="2">
      <c r="A168" s="4" t="s">
        <v>554</v>
      </c>
      <c r="B168" s="4" t="s">
        <v>405</v>
      </c>
      <c r="C168" s="27" t="s">
        <v>555</v>
      </c>
      <c r="D168" s="4">
        <v>2</v>
      </c>
      <c r="E168" s="4" t="s">
        <v>343</v>
      </c>
      <c r="F168" s="4" t="s">
        <v>556</v>
      </c>
      <c r="G168" s="4"/>
      <c r="H168" s="4" t="s">
        <v>16</v>
      </c>
      <c r="I168" s="4" t="s">
        <v>17</v>
      </c>
      <c r="J168" s="4" t="s">
        <v>18</v>
      </c>
    </row>
    <row r="169" spans="1:10" ht="15" customHeight="1" outlineLevel="2">
      <c r="A169" s="4" t="s">
        <v>557</v>
      </c>
      <c r="B169" s="4" t="s">
        <v>405</v>
      </c>
      <c r="C169" s="27" t="s">
        <v>558</v>
      </c>
      <c r="D169" s="4">
        <v>2</v>
      </c>
      <c r="E169" s="4" t="s">
        <v>343</v>
      </c>
      <c r="F169" s="4" t="s">
        <v>559</v>
      </c>
      <c r="G169" s="4"/>
      <c r="H169" s="4" t="s">
        <v>16</v>
      </c>
      <c r="I169" s="4" t="s">
        <v>17</v>
      </c>
      <c r="J169" s="4" t="s">
        <v>18</v>
      </c>
    </row>
    <row r="170" spans="1:10" ht="15" customHeight="1" outlineLevel="2">
      <c r="A170" s="4" t="s">
        <v>560</v>
      </c>
      <c r="B170" s="4" t="s">
        <v>405</v>
      </c>
      <c r="C170" s="27" t="s">
        <v>561</v>
      </c>
      <c r="D170" s="4">
        <v>2</v>
      </c>
      <c r="E170" s="4" t="s">
        <v>343</v>
      </c>
      <c r="F170" s="4" t="s">
        <v>562</v>
      </c>
      <c r="G170" s="4"/>
      <c r="H170" s="4" t="s">
        <v>16</v>
      </c>
      <c r="I170" s="4" t="s">
        <v>17</v>
      </c>
      <c r="J170" s="4" t="s">
        <v>18</v>
      </c>
    </row>
    <row r="171" spans="1:10" ht="15" customHeight="1" outlineLevel="2">
      <c r="A171" s="4" t="s">
        <v>563</v>
      </c>
      <c r="B171" s="4" t="s">
        <v>405</v>
      </c>
      <c r="C171" s="27" t="s">
        <v>564</v>
      </c>
      <c r="D171" s="4">
        <v>2</v>
      </c>
      <c r="E171" s="4" t="s">
        <v>343</v>
      </c>
      <c r="F171" s="4" t="s">
        <v>565</v>
      </c>
      <c r="G171" s="4"/>
      <c r="H171" s="4" t="s">
        <v>16</v>
      </c>
      <c r="I171" s="4" t="s">
        <v>17</v>
      </c>
      <c r="J171" s="4" t="s">
        <v>18</v>
      </c>
    </row>
  </sheetData>
  <conditionalFormatting sqref="E2:E171">
    <cfRule type="expression" dxfId="15" priority="1">
      <formula>$E2="🟢 Firme"</formula>
    </cfRule>
    <cfRule type="expression" dxfId="14" priority="2">
      <formula>$E2="🟢 Comprendido"</formula>
    </cfRule>
    <cfRule type="expression" dxfId="13" priority="3">
      <formula>$E2="🟡 Repasar"</formula>
    </cfRule>
    <cfRule type="expression" dxfId="12" priority="4">
      <formula>$E2="🟠 Iniciado"</formula>
    </cfRule>
    <cfRule type="expression" dxfId="11" priority="5">
      <formula>$E2="🟠 Parcial"</formula>
    </cfRule>
    <cfRule type="expression" dxfId="10" priority="6">
      <formula>$E2="⚪ Pendiente"</formula>
    </cfRule>
    <cfRule type="expression" dxfId="9" priority="7">
      <formula>$E2="🔴 Débil"</formula>
    </cfRule>
  </conditionalFormatting>
  <conditionalFormatting sqref="H2:H171">
    <cfRule type="expression" dxfId="8" priority="8">
      <formula>$H2="Muy alta"</formula>
    </cfRule>
    <cfRule type="expression" dxfId="7" priority="9">
      <formula>$H2="Alta"</formula>
    </cfRule>
  </conditionalFormatting>
  <dataValidations count="2">
    <dataValidation type="list" sqref="E2:E171" xr:uid="{00000000-0002-0000-0100-000000000000}">
      <formula1>"🟢 Firme,🟢 Comprendido,🟡 Repasar,🟠 Iniciado,🟠 Parcial,⚪ Pendiente,🔴 Débil"</formula1>
    </dataValidation>
    <dataValidation type="list" sqref="H2:H171" xr:uid="{00000000-0002-0000-0100-000001000000}">
      <formula1>"Baja,Media,Alta,Muy alta"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baseColWidth="10" defaultColWidth="9" defaultRowHeight="14.25"/>
  <cols>
    <col min="1" max="1" width="12" customWidth="1"/>
    <col min="2" max="2" width="32" customWidth="1"/>
    <col min="3" max="3" width="20" customWidth="1"/>
    <col min="4" max="4" width="55" customWidth="1"/>
    <col min="5" max="5" width="52" customWidth="1"/>
    <col min="6" max="6" width="13" customWidth="1"/>
  </cols>
  <sheetData>
    <row r="1" spans="1:6" ht="15" customHeight="1">
      <c r="A1" s="3" t="s">
        <v>0</v>
      </c>
      <c r="B1" s="3" t="s">
        <v>574</v>
      </c>
      <c r="C1" s="3" t="s">
        <v>4</v>
      </c>
      <c r="D1" s="3" t="s">
        <v>590</v>
      </c>
      <c r="E1" s="3" t="s">
        <v>591</v>
      </c>
      <c r="F1" s="3" t="s">
        <v>7</v>
      </c>
    </row>
    <row r="2" spans="1:6" ht="45" customHeight="1">
      <c r="A2" s="6" t="s">
        <v>43</v>
      </c>
      <c r="B2" s="6" t="s">
        <v>44</v>
      </c>
      <c r="C2" s="6" t="str">
        <f>INDEX('Mapa de estudio'!$E$2:$E$171,MATCH($A2,'Mapa de estudio'!$A$2:$A$171,0))</f>
        <v>🟢 Comprendido</v>
      </c>
      <c r="D2" s="6" t="str">
        <f>INDEX('Mapa de estudio'!$F$2:$F$171,MATCH($A2,'Mapa de estudio'!$A$2:$A$171,0))&amp;""</f>
        <v>Conceptualmente, es un método para actualizar lo que creo sobre una hipótesis cuando aparece evidencia nueva: creencia inicial → evidencia → creencia nueva.</v>
      </c>
      <c r="E2" s="6" t="str">
        <f>INDEX('Mapa de estudio'!$G$2:$G$171,MATCH($A2,'Mapa de estudio'!$A$2:$A$171,0))&amp;""</f>
        <v>Seguir con P(e|h), P(e) y recién después construir el Teorema de Bayes.</v>
      </c>
      <c r="F2" s="6" t="str">
        <f>INDEX('Mapa de estudio'!$H$2:$H$171,MATCH($A2,'Mapa de estudio'!$A$2:$A$171,0))</f>
        <v>Alta</v>
      </c>
    </row>
    <row r="3" spans="1:6" ht="15" customHeight="1">
      <c r="A3" s="4" t="s">
        <v>48</v>
      </c>
      <c r="B3" s="30" t="s">
        <v>49</v>
      </c>
      <c r="C3" s="4" t="str">
        <f>INDEX('Mapa de estudio'!$E$2:$E$171,MATCH($A3,'Mapa de estudio'!$A$2:$A$171,0))</f>
        <v>🟢 Comprendido</v>
      </c>
      <c r="D3" s="4" t="str">
        <f>INDEX('Mapa de estudio'!$F$2:$F$171,MATCH($A3,'Mapa de estudio'!$A$2:$A$171,0))&amp;""</f>
        <v>Conceptualmente, es la afirmación que quiero comprobar. Ej: «quien llama es mi amigo».</v>
      </c>
      <c r="E3" s="4" t="str">
        <f>INDEX('Mapa de estudio'!$G$2:$G$171,MATCH($A3,'Mapa de estudio'!$A$2:$A$171,0))&amp;""</f>
        <v/>
      </c>
      <c r="F3" s="4" t="str">
        <f>INDEX('Mapa de estudio'!$H$2:$H$171,MATCH($A3,'Mapa de estudio'!$A$2:$A$171,0))</f>
        <v>Baja</v>
      </c>
    </row>
    <row r="4" spans="1:6" ht="28.5" customHeight="1">
      <c r="A4" s="4" t="s">
        <v>52</v>
      </c>
      <c r="B4" s="30" t="s">
        <v>53</v>
      </c>
      <c r="C4" s="4" t="str">
        <f>INDEX('Mapa de estudio'!$E$2:$E$171,MATCH($A4,'Mapa de estudio'!$A$2:$A$171,0))</f>
        <v>🟢 Comprendido</v>
      </c>
      <c r="D4" s="4" t="str">
        <f>INDEX('Mapa de estudio'!$F$2:$F$171,MATCH($A4,'Mapa de estudio'!$A$2:$A$171,0))&amp;""</f>
        <v>Conceptualmente, es el dato nuevo que observo y que puede cambiar lo que creo sobre h. Ej: «se oye tráfico».</v>
      </c>
      <c r="E4" s="4" t="str">
        <f>INDEX('Mapa de estudio'!$G$2:$G$171,MATCH($A4,'Mapa de estudio'!$A$2:$A$171,0))&amp;""</f>
        <v/>
      </c>
      <c r="F4" s="4" t="str">
        <f>INDEX('Mapa de estudio'!$H$2:$H$171,MATCH($A4,'Mapa de estudio'!$A$2:$A$171,0))</f>
        <v>Baja</v>
      </c>
    </row>
    <row r="5" spans="1:6" ht="28.5" customHeight="1">
      <c r="A5" s="4" t="s">
        <v>55</v>
      </c>
      <c r="B5" s="30" t="s">
        <v>56</v>
      </c>
      <c r="C5" s="4" t="str">
        <f>INDEX('Mapa de estudio'!$E$2:$E$171,MATCH($A5,'Mapa de estudio'!$A$2:$A$171,0))</f>
        <v>🟢 Comprendido</v>
      </c>
      <c r="D5" s="4" t="str">
        <f>INDEX('Mapa de estudio'!$F$2:$F$171,MATCH($A5,'Mapa de estudio'!$A$2:$A$171,0))&amp;""</f>
        <v>Conceptualmente, es cuánto creo en h antes de ver la evidencia e.</v>
      </c>
      <c r="E5" s="4" t="str">
        <f>INDEX('Mapa de estudio'!$G$2:$G$171,MATCH($A5,'Mapa de estudio'!$A$2:$A$171,0))&amp;""</f>
        <v/>
      </c>
      <c r="F5" s="4" t="str">
        <f>INDEX('Mapa de estudio'!$H$2:$H$171,MATCH($A5,'Mapa de estudio'!$A$2:$A$171,0))</f>
        <v>Baja</v>
      </c>
    </row>
    <row r="6" spans="1:6" ht="28.5" customHeight="1">
      <c r="A6" s="4" t="s">
        <v>58</v>
      </c>
      <c r="B6" s="30" t="s">
        <v>59</v>
      </c>
      <c r="C6" s="4" t="str">
        <f>INDEX('Mapa de estudio'!$E$2:$E$171,MATCH($A6,'Mapa de estudio'!$A$2:$A$171,0))</f>
        <v>🟢 Comprendido</v>
      </c>
      <c r="D6" s="4" t="str">
        <f>INDEX('Mapa de estudio'!$F$2:$F$171,MATCH($A6,'Mapa de estudio'!$A$2:$A$171,0))&amp;""</f>
        <v>Conceptualmente, es cuánto creo en h después de ver e (la barra «|» se lee «dado que»).</v>
      </c>
      <c r="E6" s="4" t="str">
        <f>INDEX('Mapa de estudio'!$G$2:$G$171,MATCH($A6,'Mapa de estudio'!$A$2:$A$171,0))&amp;""</f>
        <v/>
      </c>
      <c r="F6" s="4" t="str">
        <f>INDEX('Mapa de estudio'!$H$2:$H$171,MATCH($A6,'Mapa de estudio'!$A$2:$A$171,0))</f>
        <v>Baja</v>
      </c>
    </row>
    <row r="7" spans="1:6" ht="28.5" customHeight="1">
      <c r="A7" s="4" t="s">
        <v>61</v>
      </c>
      <c r="B7" s="30" t="s">
        <v>62</v>
      </c>
      <c r="C7" s="4" t="str">
        <f>INDEX('Mapa de estudio'!$E$2:$E$171,MATCH($A7,'Mapa de estudio'!$A$2:$A$171,0))</f>
        <v>🟢 Comprendido</v>
      </c>
      <c r="D7" s="4" t="str">
        <f>INDEX('Mapa de estudio'!$F$2:$F$171,MATCH($A7,'Mapa de estudio'!$A$2:$A$171,0))&amp;""</f>
        <v>Conceptualmente, es el recorrido de mi creencia: parto de P(h), llega e y obtengo P(h|e).</v>
      </c>
      <c r="E7" s="4" t="str">
        <f>INDEX('Mapa de estudio'!$G$2:$G$171,MATCH($A7,'Mapa de estudio'!$A$2:$A$171,0))&amp;""</f>
        <v/>
      </c>
      <c r="F7" s="4" t="str">
        <f>INDEX('Mapa de estudio'!$H$2:$H$171,MATCH($A7,'Mapa de estudio'!$A$2:$A$171,0))</f>
        <v>Baja</v>
      </c>
    </row>
    <row r="8" spans="1:6" ht="28.5" customHeight="1">
      <c r="A8" s="4" t="s">
        <v>65</v>
      </c>
      <c r="B8" s="30" t="s">
        <v>66</v>
      </c>
      <c r="C8" s="4" t="str">
        <f>INDEX('Mapa de estudio'!$E$2:$E$171,MATCH($A8,'Mapa de estudio'!$A$2:$A$171,0))</f>
        <v>🟢 Comprendido</v>
      </c>
      <c r="D8" s="4" t="str">
        <f>INDEX('Mapa de estudio'!$F$2:$F$171,MATCH($A8,'Mapa de estudio'!$A$2:$A$171,0))&amp;""</f>
        <v>Conceptualmente, es qué tan esperable sería ver la evidencia e si la hipótesis h fuera cierta. Ej: si llama mi amigo de la calle, oír tráfico es muy esperable.</v>
      </c>
      <c r="E8" s="4" t="str">
        <f>INDEX('Mapa de estudio'!$G$2:$G$171,MATCH($A8,'Mapa de estudio'!$A$2:$A$171,0))&amp;""</f>
        <v>Explicarlo antes de usar la fórmula.</v>
      </c>
      <c r="F8" s="4" t="str">
        <f>INDEX('Mapa de estudio'!$H$2:$H$171,MATCH($A8,'Mapa de estudio'!$A$2:$A$171,0))</f>
        <v>Alta</v>
      </c>
    </row>
    <row r="9" spans="1:6" ht="28.5" customHeight="1">
      <c r="A9" s="4" t="s">
        <v>69</v>
      </c>
      <c r="B9" s="30" t="s">
        <v>70</v>
      </c>
      <c r="C9" s="4" t="str">
        <f>INDEX('Mapa de estudio'!$E$2:$E$171,MATCH($A9,'Mapa de estudio'!$A$2:$A$171,0))</f>
        <v>🟢 Comprendido</v>
      </c>
      <c r="D9" s="4" t="str">
        <f>INDEX('Mapa de estudio'!$F$2:$F$171,MATCH($A9,'Mapa de estudio'!$A$2:$A$171,0))&amp;""</f>
        <v>Conceptualmente, es qué tan común es ver la evidencia e en total (con h y sin h); sirve de divisor para que el resultado quede entre 0 y 1.</v>
      </c>
      <c r="E9" s="4" t="str">
        <f>INDEX('Mapa de estudio'!$G$2:$G$171,MATCH($A9,'Mapa de estudio'!$A$2:$A$171,0))&amp;""</f>
        <v>Explicarlo junto con P(e|h) sin mezclar ambos.</v>
      </c>
      <c r="F9" s="4" t="str">
        <f>INDEX('Mapa de estudio'!$H$2:$H$171,MATCH($A9,'Mapa de estudio'!$A$2:$A$171,0))</f>
        <v>Alta</v>
      </c>
    </row>
    <row r="10" spans="1:6" ht="28.5" customHeight="1">
      <c r="A10" s="4" t="s">
        <v>73</v>
      </c>
      <c r="B10" s="30" t="s">
        <v>74</v>
      </c>
      <c r="C10" s="4" t="str">
        <f>INDEX('Mapa de estudio'!$E$2:$E$171,MATCH($A10,'Mapa de estudio'!$A$2:$A$171,0))</f>
        <v>🟢 Comprendido</v>
      </c>
      <c r="D10" s="4" t="str">
        <f>INDEX('Mapa de estudio'!$F$2:$F$171,MATCH($A10,'Mapa de estudio'!$A$2:$A$171,0))&amp;""</f>
        <v>Conceptualmente, es la regla que calcula la creencia nueva: mi creencia inicial ajustada por qué tan esperable era la evidencia, dividida entre qué tan común es esa evidencia. Fórmula: P(h|e) = P(h)·P(e|h) / P(e).</v>
      </c>
      <c r="E10" s="4" t="str">
        <f>INDEX('Mapa de estudio'!$G$2:$G$171,MATCH($A10,'Mapa de estudio'!$A$2:$A$171,0))&amp;""</f>
        <v>Construir la fórmula solo cuando cada término esté entendido.</v>
      </c>
      <c r="F10" s="4" t="str">
        <f>INDEX('Mapa de estudio'!$H$2:$H$171,MATCH($A10,'Mapa de estudio'!$A$2:$A$171,0))</f>
        <v>Alta</v>
      </c>
    </row>
    <row r="11" spans="1:6" ht="28.5" customHeight="1">
      <c r="A11" s="4" t="s">
        <v>77</v>
      </c>
      <c r="B11" s="30" t="s">
        <v>78</v>
      </c>
      <c r="C11" s="4" t="str">
        <f>INDEX('Mapa de estudio'!$E$2:$E$171,MATCH($A11,'Mapa de estudio'!$A$2:$A$171,0))</f>
        <v>🟢 Comprendido</v>
      </c>
      <c r="D11" s="4" t="str">
        <f>INDEX('Mapa de estudio'!$F$2:$F$171,MATCH($A11,'Mapa de estudio'!$A$2:$A$171,0))&amp;""</f>
        <v>Conceptualmente, es usar la fórmula de Bayes con números para ver cuánto cambia mi creencia en h cuando llega e. Cómo: P(h|e) = P(h)·P(e|h) / P(e). Ej (M = meningitis, S = síntoma): P(S|M)=0.5, P(M)=1/50.000, P(S)=1/20 → P(M|S) = 0.5·(1/50.000) / (1/20) = 0.0002.</v>
      </c>
      <c r="E11" s="4" t="str">
        <f>INDEX('Mapa de estudio'!$G$2:$G$171,MATCH($A11,'Mapa de estudio'!$A$2:$A$171,0))&amp;""</f>
        <v>Resolver paso a paso.</v>
      </c>
      <c r="F11" s="4" t="str">
        <f>INDEX('Mapa de estudio'!$H$2:$H$171,MATCH($A11,'Mapa de estudio'!$A$2:$A$171,0))</f>
        <v>Alta</v>
      </c>
    </row>
    <row r="12" spans="1:6" ht="15" customHeight="1">
      <c r="A12" s="4" t="s">
        <v>81</v>
      </c>
      <c r="B12" s="30" t="s">
        <v>82</v>
      </c>
      <c r="C12" s="4" t="str">
        <f>INDEX('Mapa de estudio'!$E$2:$E$171,MATCH($A12,'Mapa de estudio'!$A$2:$A$171,0))</f>
        <v>🟢 Comprendido</v>
      </c>
      <c r="D12" s="4" t="str">
        <f>INDEX('Mapa de estudio'!$F$2:$F$171,MATCH($A12,'Mapa de estudio'!$A$2:$A$171,0))&amp;""</f>
        <v>Conceptualmente, es hacer lo mismo con varias evidencias: cada una vuelve a mover la creencia y se combinan todas. Cómo: por cada hipótesis multiplico su P(h) por la P(e|h) de cada evidencia, y divido entre la suma de todas las hipótesis. Ej: h1 = inversor de alto riesgo, h2 = de bajo riesgo; P(h1)=0.3, P(h2)=0.7. e1 = soltero: P(e1|h1)=0.6, P(e1|h2)=0.4. e2 = ingresos altos: P(e2|h1)=0.2, P(e2|h2)=0.8. h1: 0.3·0.6·0.2 = 0.036; h2: 0.7·0.4·0.8 = 0.224 → P(h1|e1,e2) = 0.036 / (0.036+0.224) ≈ 0.14.</v>
      </c>
      <c r="E12" s="4" t="str">
        <f>INDEX('Mapa de estudio'!$G$2:$G$171,MATCH($A12,'Mapa de estudio'!$A$2:$A$171,0))&amp;""</f>
        <v>Ver después de dominar Bayes básico.</v>
      </c>
      <c r="F12" s="4" t="str">
        <f>INDEX('Mapa de estudio'!$H$2:$H$171,MATCH($A12,'Mapa de estudio'!$A$2:$A$171,0))</f>
        <v>Media</v>
      </c>
    </row>
    <row r="13" spans="1:6" ht="28.5" customHeight="1">
      <c r="A13" s="4" t="s">
        <v>86</v>
      </c>
      <c r="B13" s="30" t="s">
        <v>87</v>
      </c>
      <c r="C13" s="4" t="str">
        <f>INDEX('Mapa de estudio'!$E$2:$E$171,MATCH($A13,'Mapa de estudio'!$A$2:$A$171,0))</f>
        <v>🟢 Comprendido</v>
      </c>
      <c r="D13" s="4" t="str">
        <f>INDEX('Mapa de estudio'!$F$2:$F$171,MATCH($A13,'Mapa de estudio'!$A$2:$A$171,0))&amp;""</f>
        <v>Conceptualmente, es exigir que las hipótesis sean exclusivas (solo una es cierta) y exhaustivas (no falta ninguna), para que sus probabilidades sumen 1.</v>
      </c>
      <c r="E13" s="4" t="str">
        <f>INDEX('Mapa de estudio'!$G$2:$G$171,MATCH($A13,'Mapa de estudio'!$A$2:$A$171,0))&amp;""</f>
        <v>Introducir al estudiar múltiples evidencias.</v>
      </c>
      <c r="F13" s="4" t="str">
        <f>INDEX('Mapa de estudio'!$H$2:$H$171,MATCH($A13,'Mapa de estudio'!$A$2:$A$171,0))</f>
        <v>Media</v>
      </c>
    </row>
    <row r="14" spans="1:6" ht="42.75" customHeight="1">
      <c r="A14" s="4" t="s">
        <v>90</v>
      </c>
      <c r="B14" s="30" t="s">
        <v>91</v>
      </c>
      <c r="C14" s="4" t="str">
        <f>INDEX('Mapa de estudio'!$E$2:$E$171,MATCH($A14,'Mapa de estudio'!$A$2:$A$171,0))</f>
        <v>🟢 Comprendido</v>
      </c>
      <c r="D14" s="4" t="str">
        <f>INDEX('Mapa de estudio'!$F$2:$F$171,MATCH($A14,'Mapa de estudio'!$A$2:$A$171,0))&amp;""</f>
        <v>Conceptualmente, son los límites de Bayes: necesita muchas probabilidades, muestras representativas e independencia, y obliga a que P(h)+P(no h)=1.</v>
      </c>
      <c r="E14" s="4" t="str">
        <f>INDEX('Mapa de estudio'!$G$2:$G$171,MATCH($A14,'Mapa de estudio'!$A$2:$A$171,0))&amp;""</f>
        <v>Revisar al cerrar Bayes.</v>
      </c>
      <c r="F14" s="4" t="str">
        <f>INDEX('Mapa de estudio'!$H$2:$H$171,MATCH($A14,'Mapa de estudio'!$A$2:$A$171,0))</f>
        <v>Media</v>
      </c>
    </row>
  </sheetData>
  <conditionalFormatting sqref="C2:C14">
    <cfRule type="expression" dxfId="6" priority="1">
      <formula>$C2="🟢 Firme"</formula>
    </cfRule>
    <cfRule type="expression" dxfId="5" priority="2">
      <formula>$C2="🟢 Comprendido"</formula>
    </cfRule>
    <cfRule type="expression" dxfId="4" priority="3">
      <formula>$C2="🟡 Repasar"</formula>
    </cfRule>
    <cfRule type="expression" dxfId="3" priority="4">
      <formula>$C2="🟠 Iniciado"</formula>
    </cfRule>
    <cfRule type="expression" dxfId="2" priority="5">
      <formula>$C2="🟠 Parcial"</formula>
    </cfRule>
    <cfRule type="expression" dxfId="1" priority="6">
      <formula>$C2="⚪ Pendiente"</formula>
    </cfRule>
    <cfRule type="expression" dxfId="0" priority="7">
      <formula>$C2="🔴 Débil"</formula>
    </cfRule>
  </conditionalFormatting>
  <dataValidations count="1">
    <dataValidation type="list" sqref="C2:C14" xr:uid="{00000000-0002-0000-0200-000000000000}">
      <formula1>"🟢 Firme,🟢 Comprendido,🟡 Repasar,🟠 Iniciado,🟠 Parcial,⚪ Pendiente,🔴 Débil"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baseColWidth="10" defaultColWidth="9" defaultRowHeight="14.25"/>
  <cols>
    <col min="1" max="1" width="22" customWidth="1"/>
    <col min="2" max="2" width="26" customWidth="1"/>
    <col min="3" max="3" width="70" customWidth="1"/>
  </cols>
  <sheetData>
    <row r="1" spans="1:3" ht="15" customHeight="1">
      <c r="A1" s="2" t="s">
        <v>4</v>
      </c>
      <c r="B1" s="2" t="s">
        <v>592</v>
      </c>
      <c r="C1" s="2" t="s">
        <v>593</v>
      </c>
    </row>
    <row r="2" spans="1:3" ht="28.5" customHeight="1">
      <c r="A2" s="7" t="s">
        <v>35</v>
      </c>
      <c r="B2" s="7" t="s">
        <v>594</v>
      </c>
      <c r="C2" s="7" t="s">
        <v>595</v>
      </c>
    </row>
    <row r="3" spans="1:3">
      <c r="A3" s="7" t="s">
        <v>21</v>
      </c>
      <c r="B3" s="7" t="s">
        <v>596</v>
      </c>
      <c r="C3" s="7" t="s">
        <v>597</v>
      </c>
    </row>
    <row r="4" spans="1:3">
      <c r="A4" s="7" t="s">
        <v>143</v>
      </c>
      <c r="B4" s="7" t="s">
        <v>598</v>
      </c>
      <c r="C4" s="7" t="s">
        <v>599</v>
      </c>
    </row>
    <row r="5" spans="1:3">
      <c r="A5" s="7" t="s">
        <v>13</v>
      </c>
      <c r="B5" s="7" t="s">
        <v>600</v>
      </c>
      <c r="C5" s="7" t="s">
        <v>601</v>
      </c>
    </row>
    <row r="6" spans="1:3">
      <c r="A6" s="7" t="s">
        <v>186</v>
      </c>
      <c r="B6" s="7" t="s">
        <v>602</v>
      </c>
      <c r="C6" s="7" t="s">
        <v>603</v>
      </c>
    </row>
    <row r="7" spans="1:3">
      <c r="A7" s="7" t="s">
        <v>343</v>
      </c>
      <c r="B7" s="7" t="s">
        <v>604</v>
      </c>
      <c r="C7" s="7" t="s">
        <v>605</v>
      </c>
    </row>
    <row r="8" spans="1:3">
      <c r="A8" s="7" t="s">
        <v>182</v>
      </c>
      <c r="B8" s="7" t="s">
        <v>606</v>
      </c>
      <c r="C8" s="7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Mapa de estudio</vt:lpstr>
      <vt:lpstr>Bayes 1.3</vt:lpstr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Tamara Trejo</cp:lastModifiedBy>
  <dcterms:created xsi:type="dcterms:W3CDTF">2026-09-13T14:26:34Z</dcterms:created>
  <dcterms:modified xsi:type="dcterms:W3CDTF">2026-09-25T02:33:05Z</dcterms:modified>
</cp:coreProperties>
</file>